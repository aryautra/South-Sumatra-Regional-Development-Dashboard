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_\Documents\Arya Lock In\Dummy Project 2\"/>
    </mc:Choice>
  </mc:AlternateContent>
  <xr:revisionPtr revIDLastSave="0" documentId="8_{0AC2B5DF-B174-4BB0-AF0E-36887DB2B67F}" xr6:coauthVersionLast="47" xr6:coauthVersionMax="47" xr10:uidLastSave="{00000000-0000-0000-0000-000000000000}"/>
  <bookViews>
    <workbookView xWindow="-120" yWindow="-120" windowWidth="20730" windowHeight="11760" tabRatio="500" firstSheet="1" activeTab="1" xr2:uid="{00000000-000D-0000-FFFF-FFFF00000000}"/>
  </bookViews>
  <sheets>
    <sheet name="README" sheetId="1" r:id="rId1"/>
    <sheet name="Tracker" sheetId="2" r:id="rId2"/>
    <sheet name="Poverty_Rate" sheetId="3" r:id="rId3"/>
    <sheet name="Unemployment_TPT" sheetId="4" r:id="rId4"/>
    <sheet name="GRDP_Growth" sheetId="5" r:id="rId5"/>
    <sheet name="GRDP_PerCapita" sheetId="6" r:id="rId6"/>
    <sheet name="HDI_IPM" sheetId="7" r:id="rId7"/>
    <sheet name="Inflation" sheetId="8" r:id="rId8"/>
    <sheet name="Poverty_Count" sheetId="9" r:id="rId9"/>
    <sheet name="Gini" sheetId="10" r:id="rId10"/>
    <sheet name="GRDP_Structure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4" i="8" l="1"/>
  <c r="N13" i="8"/>
  <c r="N10" i="3"/>
  <c r="N11" i="3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27" i="9"/>
  <c r="N26" i="9"/>
  <c r="N25" i="9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27" i="8"/>
  <c r="N26" i="8"/>
  <c r="N25" i="8"/>
  <c r="N23" i="8"/>
  <c r="N22" i="8"/>
  <c r="N21" i="8"/>
  <c r="N20" i="8"/>
  <c r="N19" i="8"/>
  <c r="N18" i="8"/>
  <c r="N17" i="8"/>
  <c r="N16" i="8"/>
  <c r="N15" i="8"/>
  <c r="N14" i="8"/>
  <c r="N12" i="8"/>
  <c r="N11" i="8"/>
  <c r="N10" i="8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0" i="5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H13" i="2"/>
  <c r="F13" i="2"/>
  <c r="G13" i="2" s="1"/>
  <c r="E13" i="2"/>
  <c r="H12" i="2"/>
  <c r="F12" i="2"/>
  <c r="G12" i="2" s="1"/>
  <c r="H11" i="2"/>
  <c r="F11" i="2"/>
  <c r="E11" i="2"/>
  <c r="H10" i="2"/>
  <c r="F10" i="2"/>
  <c r="G10" i="2" s="1"/>
  <c r="H9" i="2"/>
  <c r="F9" i="2"/>
  <c r="E9" i="2"/>
  <c r="H8" i="2"/>
  <c r="F8" i="2"/>
  <c r="G8" i="2" s="1"/>
  <c r="E8" i="2"/>
  <c r="H7" i="2"/>
  <c r="E7" i="2"/>
  <c r="H6" i="2"/>
  <c r="F6" i="2"/>
  <c r="E6" i="2"/>
  <c r="H5" i="2"/>
  <c r="F5" i="2"/>
  <c r="E5" i="2"/>
  <c r="G11" i="2" l="1"/>
  <c r="G9" i="2"/>
  <c r="N11" i="5"/>
  <c r="F7" i="2"/>
  <c r="E15" i="2"/>
  <c r="G6" i="2"/>
  <c r="G5" i="2"/>
  <c r="G7" i="2" l="1"/>
  <c r="F15" i="2"/>
  <c r="G15" i="2" s="1"/>
</calcChain>
</file>

<file path=xl/sharedStrings.xml><?xml version="1.0" encoding="utf-8"?>
<sst xmlns="http://schemas.openxmlformats.org/spreadsheetml/2006/main" count="635" uniqueCount="200">
  <si>
    <t>South Sumatra Economic Dashboard: Data Collection Template</t>
  </si>
  <si>
    <t>Fill in the yellow cells, save the file, and upload it back to Claude. The layout is fixed so the data can be read automatically.</t>
  </si>
  <si>
    <t>HOW TO FILL IT IN</t>
  </si>
  <si>
    <t>1. Type only in the YELLOW cells (the numbers, plus the 4 source fields at the top of each sheet). Grey cells are fixed labels.</t>
  </si>
  <si>
    <t>2. Leave a cell BLANK if the data is not available. Do not type 0, a dash, or 'n/a'; the cells only accept numbers.</t>
  </si>
  <si>
    <t>3. Type plain numbers only: no % sign, no units, no text. Excel uses your regional decimal format.</t>
  </si>
  <si>
    <t>4. Use the same release every year (for example the March poverty figure for every year) and write which one in the Notes field.</t>
  </si>
  <si>
    <t>5. For every sheet you use, fill in: Source table title, Source URL or table ID, Release date or version, and Notes (breaks, provisional values, boundary changes).</t>
  </si>
  <si>
    <t>6. Do NOT rename sheets, insert or delete rows or columns, or change area names or years. That keeps the file readable.</t>
  </si>
  <si>
    <t>7. Not sure about a number? Leave it blank and describe the problem in Notes. A blank is better than a guess.</t>
  </si>
  <si>
    <t>8. Check the Tracker sheet to see how complete each indicator is. Start with the six CORE sheets (blue tabs); the OPTIONAL ones (grey tabs) can wait.</t>
  </si>
  <si>
    <t>COLOUR GUIDE</t>
  </si>
  <si>
    <t>Yellow</t>
  </si>
  <si>
    <t>Type here. Blue text = numbers or text you enter.</t>
  </si>
  <si>
    <t>Grey</t>
  </si>
  <si>
    <t>Fixed labels and formulas. Do not edit.</t>
  </si>
  <si>
    <t>EXAMPLE OF CORRECTLY ENTERED DATA (ILLUSTRATIVE ONLY, NOT REAL NUMBERS)</t>
  </si>
  <si>
    <t>BPS code</t>
  </si>
  <si>
    <t>Area</t>
  </si>
  <si>
    <t>2023</t>
  </si>
  <si>
    <t>2024</t>
  </si>
  <si>
    <t>xxxx</t>
  </si>
  <si>
    <t>Example Area A</t>
  </si>
  <si>
    <t>Example Area B (no 2023 data)</t>
  </si>
  <si>
    <t>Area B shows a blank cell: data not available, so the cell is simply left empty.</t>
  </si>
  <si>
    <t>WHERE TO START</t>
  </si>
  <si>
    <t>Start at sumsel.bps.go.id (BPS Sumatera Selatan): the publications section, including the semiannual booklet of strategic socio-economic indicators, and the statistical tables section. Confirm every table you use on the BPS site and record it in the source fields.</t>
  </si>
  <si>
    <t>Years not yet released (for example the latest year) will simply stay blank. That is fine.</t>
  </si>
  <si>
    <t>Progress Tracker</t>
  </si>
  <si>
    <t>Updates automatically as you enter data. Click a sheet name to jump to it.</t>
  </si>
  <si>
    <t>Sheet</t>
  </si>
  <si>
    <t>Indicator</t>
  </si>
  <si>
    <t>Type</t>
  </si>
  <si>
    <t>Coverage</t>
  </si>
  <si>
    <t>Expected cells</t>
  </si>
  <si>
    <t>Cells filled</t>
  </si>
  <si>
    <t>% complete</t>
  </si>
  <si>
    <t>Source fields</t>
  </si>
  <si>
    <t>Expected-cells assumption</t>
  </si>
  <si>
    <t>Poverty_Rate</t>
  </si>
  <si>
    <t>Poverty rate</t>
  </si>
  <si>
    <t>Core</t>
  </si>
  <si>
    <t>Province + 17 regencies/cities</t>
  </si>
  <si>
    <t>Full grid</t>
  </si>
  <si>
    <t>Unemployment_TPT</t>
  </si>
  <si>
    <t>Open unemployment rate (TPT)</t>
  </si>
  <si>
    <t>GRDP_Growth</t>
  </si>
  <si>
    <t>Economic growth (GRDP growth, year-on-year)</t>
  </si>
  <si>
    <t>GRDP_PerCapita</t>
  </si>
  <si>
    <t>GRDP per capita (current prices)</t>
  </si>
  <si>
    <t>HDI_IPM</t>
  </si>
  <si>
    <t>Human Development Index (IPM)</t>
  </si>
  <si>
    <t>Inflation</t>
  </si>
  <si>
    <t>Inflation (year-on-year)</t>
  </si>
  <si>
    <t>Cities with inflation data only</t>
  </si>
  <si>
    <t>Assumes 2 cities x 11 years (edit if BPS has more)</t>
  </si>
  <si>
    <t>Poverty_Count</t>
  </si>
  <si>
    <t>Number of poor people</t>
  </si>
  <si>
    <t>Optional</t>
  </si>
  <si>
    <t>Gini</t>
  </si>
  <si>
    <t>Gini ratio (inequality)</t>
  </si>
  <si>
    <t>Province (regency if available)</t>
  </si>
  <si>
    <t>Assumes province only: 1 row x 11 years</t>
  </si>
  <si>
    <t>GRDP_Structure</t>
  </si>
  <si>
    <t>GRDP by industry (share of total GRDP)</t>
  </si>
  <si>
    <t>Province, by industry (17 categories)</t>
  </si>
  <si>
    <t>Core indicators overall</t>
  </si>
  <si>
    <t>Poverty rate  (CORE)</t>
  </si>
  <si>
    <t>Unit</t>
  </si>
  <si>
    <t>% of population below the poverty line</t>
  </si>
  <si>
    <t>Guidance</t>
  </si>
  <si>
    <t>Pick ONE release (e.g. March) and use it for every year. Write which one in Notes.</t>
  </si>
  <si>
    <t>Source table title (BPS)</t>
  </si>
  <si>
    <t>Source URL or table ID</t>
  </si>
  <si>
    <t>Release date or version</t>
  </si>
  <si>
    <t>Notes (breaks, provisional, base year)</t>
  </si>
  <si>
    <t>2015</t>
  </si>
  <si>
    <t>2016</t>
  </si>
  <si>
    <t>2017</t>
  </si>
  <si>
    <t>2018</t>
  </si>
  <si>
    <t>2019</t>
  </si>
  <si>
    <t>2020</t>
  </si>
  <si>
    <t>2021</t>
  </si>
  <si>
    <t>2022</t>
  </si>
  <si>
    <t>2025</t>
  </si>
  <si>
    <t>Years filled</t>
  </si>
  <si>
    <t>16</t>
  </si>
  <si>
    <t>Sumatera Selatan (Province)</t>
  </si>
  <si>
    <t>1601</t>
  </si>
  <si>
    <t>Ogan Komering Ulu</t>
  </si>
  <si>
    <t>1602</t>
  </si>
  <si>
    <t>Ogan Komering Ilir</t>
  </si>
  <si>
    <t>1603</t>
  </si>
  <si>
    <t>Muara Enim</t>
  </si>
  <si>
    <t>1604</t>
  </si>
  <si>
    <t>Lahat</t>
  </si>
  <si>
    <t>1605</t>
  </si>
  <si>
    <t>Musi Rawas</t>
  </si>
  <si>
    <t>1606</t>
  </si>
  <si>
    <t>Musi Banyuasin</t>
  </si>
  <si>
    <t>1607</t>
  </si>
  <si>
    <t>Banyuasin</t>
  </si>
  <si>
    <t>1608</t>
  </si>
  <si>
    <t>Ogan Komering Ulu Selatan</t>
  </si>
  <si>
    <t>1609</t>
  </si>
  <si>
    <t>Ogan Komering Ulu Timur</t>
  </si>
  <si>
    <t>1610</t>
  </si>
  <si>
    <t>Ogan Ilir</t>
  </si>
  <si>
    <t>1611</t>
  </si>
  <si>
    <t>Empat Lawang</t>
  </si>
  <si>
    <t>1612</t>
  </si>
  <si>
    <t>Penukal Abab Lematang Ilir</t>
  </si>
  <si>
    <t>1613</t>
  </si>
  <si>
    <t>Musi Rawas Utara</t>
  </si>
  <si>
    <t>1671</t>
  </si>
  <si>
    <t>Palembang (City)</t>
  </si>
  <si>
    <t>1672</t>
  </si>
  <si>
    <t>Prabumulih (City)</t>
  </si>
  <si>
    <t>1673</t>
  </si>
  <si>
    <t>Pagar Alam (City)</t>
  </si>
  <si>
    <t>1674</t>
  </si>
  <si>
    <t>Lubuk Linggau (City)</t>
  </si>
  <si>
    <t>Open unemployment rate (TPT)  (CORE)</t>
  </si>
  <si>
    <t>% of labour force</t>
  </si>
  <si>
    <t>Use the same survey round every year (regency level is usually August; confirm on BPS).</t>
  </si>
  <si>
    <t>Economic growth (GRDP growth, year-on-year)  (CORE)</t>
  </si>
  <si>
    <t>% per year, from GRDP at constant prices</t>
  </si>
  <si>
    <t>Write the base year (e.g. 2010=100) in Notes. BPS series can change base year.</t>
  </si>
  <si>
    <t>GRDP per capita (current prices)  (CORE)</t>
  </si>
  <si>
    <t>million IDR per person per year</t>
  </si>
  <si>
    <t>If BPS shows thousand IDR, convert to million IDR and say so in Notes.</t>
  </si>
  <si>
    <t>Human Development Index (IPM)  (CORE)</t>
  </si>
  <si>
    <t>index points (0-100)</t>
  </si>
  <si>
    <t>Use the current-method series. Note any method break in Notes.</t>
  </si>
  <si>
    <t>Inflation (year-on-year)  (CORE)</t>
  </si>
  <si>
    <t>% year-on-year</t>
  </si>
  <si>
    <t>Only some cities publish inflation (sources I saw listed Palembang and Lubuk Linggau; verify on BPS). Leave other areas blank. Use the same month every year (e.g. December).</t>
  </si>
  <si>
    <t>Number of poor people  (OPTIONAL)</t>
  </si>
  <si>
    <t>thousand persons</t>
  </si>
  <si>
    <t>Use the same release as the poverty rate.</t>
  </si>
  <si>
    <t>Gini ratio (inequality)  (OPTIONAL)</t>
  </si>
  <si>
    <t>ratio between 0 and 1</t>
  </si>
  <si>
    <t>Usually province level only. Fill regency/city rows only if BPS publishes them.</t>
  </si>
  <si>
    <t>GRDP by industry (share of total GRDP)  (OPTIONAL)</t>
  </si>
  <si>
    <t>% share of provincial GRDP</t>
  </si>
  <si>
    <t>Province level. Shares should add up to about 100% for each year.</t>
  </si>
  <si>
    <t>Sector</t>
  </si>
  <si>
    <t>A</t>
  </si>
  <si>
    <t>Pertanian, Kehutanan, dan Perikanan</t>
  </si>
  <si>
    <t>B</t>
  </si>
  <si>
    <t>Pertambangan dan Penggalian</t>
  </si>
  <si>
    <t>C</t>
  </si>
  <si>
    <t>Industri Pengolahan</t>
  </si>
  <si>
    <t>D</t>
  </si>
  <si>
    <t>Pengadaan Listrik dan Gas</t>
  </si>
  <si>
    <t>E</t>
  </si>
  <si>
    <t>Pengadaan Air, Pengelolaan Sampah, Limbah dan Daur Ulang</t>
  </si>
  <si>
    <t>F</t>
  </si>
  <si>
    <t>Konstruksi</t>
  </si>
  <si>
    <t>G</t>
  </si>
  <si>
    <t>Perdagangan Besar dan Eceran; Reparasi Mobil dan Sepeda Motor</t>
  </si>
  <si>
    <t>H</t>
  </si>
  <si>
    <t>Transportasi dan Pergudangan</t>
  </si>
  <si>
    <t>I</t>
  </si>
  <si>
    <t>Penyediaan Akomodasi dan Makan Minum</t>
  </si>
  <si>
    <t>J</t>
  </si>
  <si>
    <t>Informasi dan Komunikasi</t>
  </si>
  <si>
    <t>K</t>
  </si>
  <si>
    <t>Jasa Keuangan dan Asuransi</t>
  </si>
  <si>
    <t>L</t>
  </si>
  <si>
    <t>Real Estate</t>
  </si>
  <si>
    <t>M,N</t>
  </si>
  <si>
    <t>Jasa Perusahaan</t>
  </si>
  <si>
    <t>O</t>
  </si>
  <si>
    <t>Administrasi Pemerintahan, Pertahanan dan Jaminan Sosial Wajib</t>
  </si>
  <si>
    <t>P</t>
  </si>
  <si>
    <t>Jasa Pendidikan</t>
  </si>
  <si>
    <t>Q</t>
  </si>
  <si>
    <t>Jasa Kesehatan dan Kegiatan Sosial</t>
  </si>
  <si>
    <t>R,S,T,U</t>
  </si>
  <si>
    <t>Jasa Lainnya</t>
  </si>
  <si>
    <t>Persentase Penduduk miskin menurut kabupaten/kota (persen)</t>
  </si>
  <si>
    <t>Persentase Penduduk Miskin menurut Kabupaten/Kota - Tabel Statistik - Badan Pusat Statistik Provinsi Sumatera Selatan</t>
  </si>
  <si>
    <t>Tingkat Pengangguran Terbuka (TPT) dan Tingkat Partisipasi Angkatan Kerja (TPAK) Menurut Kabupaten/Kota di Provinsi Sumatera Selatan, 2025 - Tabel Statistik - Badan Pusat Statistik Provinsi Sumatera Selatan</t>
  </si>
  <si>
    <t>Tingkat Pengangguran Terbuka (TPT) dan Tingkat Partisipasi Angkatan Kerja (TPAK) Menurut Kabupaten/Kota di Provinsi Sumatera Selatan, per agustus</t>
  </si>
  <si>
    <t>Produk Domestik Regional Bruto (PDRB) Tahunan Kabupaten/Kota Provinsi Sumatera Selatan Atas Dasar Harga Berlaku (Miliar Rupiah)</t>
  </si>
  <si>
    <t>Produk Domestik Regional Bruto (PDRB) Tahunan Kabupaten/Kota Provinsi Sumatera Selatan Atas Dasar Harga Berlaku - Tabel Statistik - Badan Pusat Statistik Provinsi Sumatera Selatan</t>
  </si>
  <si>
    <t>Laju Pertumbuhan Produk Domestik Regional Bruto per Kapita Atas Dasar Harga Konstan 2010 Menurut Kabupaten/Kota di Provinsi Sumatera Selatan (persen)</t>
  </si>
  <si>
    <t>Laju Pertumbuhan Produk Domestik Regional Bruto per Kapita Atas Dasar Harga Konstan 2010 Menurut Kabupaten/Kota di Provinsi Sumatera Selatan (persen), 2025 - Tabel Statistik - Badan Pusat Statistik Provinsi Sumatera Selatan</t>
  </si>
  <si>
    <t>I don’t got the province (could u calculate it from the city data?)</t>
  </si>
  <si>
    <t>Indeks Pembangunan Manusia Menurut Kabupaten/Kota di Provinsi Sumatera Selatan,</t>
  </si>
  <si>
    <t>Indeks Pembangunan Manusia Menurut Kabupaten/Kota di Provinsi Sumatera Selatan, 2025 - Tabel Statistik - Badan Pusat Statistik Provinsi Sumatera Selatan</t>
  </si>
  <si>
    <t>Inflasi di Provinsi Sumatera Selatan (month-to-month) </t>
  </si>
  <si>
    <t>Inflasi di Provinsi Sumatera Selatan (month-to-month) (2022=100) - Tabel Statistik - Badan Pusat Statistik Provinsi Sumatera Selatan</t>
  </si>
  <si>
    <t>Bulan desember, Cuma dapet itu aku sisanya gaada di bps</t>
  </si>
  <si>
    <t>Jumlah Penduduk Miskin - Maret (ribu) (Ribu)</t>
  </si>
  <si>
    <t>Jumlah dan Persentase Penduduk Miskin Menurut Kabupaten/Kota di Provinsi Sumatera Selatan, 2025 - Tabel Statistik - Badan Pusat Statistik Provinsi Sumatera Selatan</t>
  </si>
  <si>
    <t>satuannya ribu itu, tahun 2015 dan 2016 tidak ada di bps</t>
  </si>
  <si>
    <t>Rasio Gini Menurut Kabupaten/Kota</t>
  </si>
  <si>
    <t>Rasio Gini Menurut Kabupaten/Kota - Tabel Statistik - Badan Pusat Statistik Provinsi Sumatera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</si>
</sst>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0"/>
  </numFmts>
  <fonts count="20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u/>
      <sz val="10"/>
      <color rgb="FF0563C1"/>
      <name val="Arial"/>
      <charset val="1"/>
    </font>
    <font>
      <u/>
      <sz val="11"/>
      <color theme="10"/>
      <name val="Calibri"/>
      <family val="2"/>
      <charset val="1"/>
    </font>
    <font>
      <sz val="11"/>
      <color rgb="FF111111"/>
      <name val="Inter"/>
    </font>
    <font>
      <b/>
      <sz val="15"/>
      <color rgb="FF003C80"/>
      <name val="Inter"/>
    </font>
    <font>
      <sz val="10"/>
      <color rgb="FF0000FF"/>
      <name val="Arial"/>
      <family val="2"/>
    </font>
    <font>
      <b/>
      <sz val="9"/>
      <color rgb="FF003C80"/>
      <name val="Inter"/>
    </font>
    <font>
      <u/>
      <sz val="8"/>
      <color theme="10"/>
      <name val="Calibri"/>
      <family val="2"/>
      <charset val="1"/>
    </font>
    <font>
      <b/>
      <sz val="8"/>
      <color rgb="FF003C80"/>
      <name val="Inter"/>
    </font>
    <font>
      <sz val="8"/>
      <name val="Calibri"/>
      <family val="2"/>
      <charset val="1"/>
    </font>
    <font>
      <sz val="12"/>
      <color theme="1"/>
      <name val="Calibri"/>
      <family val="2"/>
      <scheme val="minor"/>
    </font>
    <font>
      <b/>
      <sz val="14"/>
      <color rgb="FF003C80"/>
      <name val="Inter"/>
    </font>
    <font>
      <b/>
      <sz val="18"/>
      <color rgb="FF003C80"/>
      <name val="Inter"/>
    </font>
    <font>
      <sz val="11"/>
      <color theme="1"/>
      <name val="Inter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9E2F3"/>
      </patternFill>
    </fill>
    <fill>
      <patternFill patternType="solid">
        <fgColor rgb="FF1F3864"/>
        <bgColor rgb="FF1F4E78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16" fillId="0" borderId="0"/>
  </cellStyleXfs>
  <cellXfs count="56">
    <xf numFmtId="0" fontId="0" fillId="0" borderId="0" xfId="0"/>
    <xf numFmtId="0" fontId="5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2" borderId="1" xfId="0" applyFont="1" applyFill="1" applyBorder="1"/>
    <xf numFmtId="0" fontId="4" fillId="0" borderId="0" xfId="0" applyFont="1"/>
    <xf numFmtId="0" fontId="4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5" fillId="3" borderId="1" xfId="0" applyFont="1" applyFill="1" applyBorder="1"/>
    <xf numFmtId="0" fontId="4" fillId="4" borderId="1" xfId="0" applyFont="1" applyFill="1" applyBorder="1"/>
    <xf numFmtId="0" fontId="6" fillId="5" borderId="1" xfId="0" applyFont="1" applyFill="1" applyBorder="1" applyAlignment="1">
      <alignment horizontal="center" vertical="center" wrapText="1"/>
    </xf>
    <xf numFmtId="2" fontId="5" fillId="3" borderId="1" xfId="0" applyNumberFormat="1" applyFont="1" applyFill="1" applyBorder="1"/>
    <xf numFmtId="0" fontId="1" fillId="0" borderId="0" xfId="0" applyFont="1"/>
    <xf numFmtId="0" fontId="2" fillId="0" borderId="0" xfId="0" applyFont="1"/>
    <xf numFmtId="0" fontId="7" fillId="0" borderId="1" xfId="0" applyFont="1" applyBorder="1"/>
    <xf numFmtId="0" fontId="4" fillId="0" borderId="1" xfId="0" applyFont="1" applyBorder="1"/>
    <xf numFmtId="3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4" borderId="1" xfId="0" applyFont="1" applyFill="1" applyBorder="1"/>
    <xf numFmtId="4" fontId="5" fillId="3" borderId="1" xfId="0" applyNumberFormat="1" applyFont="1" applyFill="1" applyBorder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0" fontId="9" fillId="0" borderId="0" xfId="0" applyFont="1"/>
    <xf numFmtId="0" fontId="11" fillId="3" borderId="1" xfId="0" applyFont="1" applyFill="1" applyBorder="1" applyAlignment="1">
      <alignment vertical="center" wrapText="1"/>
    </xf>
    <xf numFmtId="0" fontId="8" fillId="0" borderId="2" xfId="1" applyBorder="1" applyAlignment="1">
      <alignment horizontal="center"/>
    </xf>
    <xf numFmtId="0" fontId="8" fillId="0" borderId="3" xfId="1" applyBorder="1" applyAlignment="1">
      <alignment horizontal="center"/>
    </xf>
    <xf numFmtId="0" fontId="8" fillId="0" borderId="4" xfId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/>
    </xf>
    <xf numFmtId="0" fontId="13" fillId="0" borderId="3" xfId="1" applyFont="1" applyBorder="1" applyAlignment="1">
      <alignment horizontal="center"/>
    </xf>
    <xf numFmtId="0" fontId="13" fillId="0" borderId="4" xfId="1" applyFont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4" xfId="0" applyFont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2D7FC75C-2C06-4507-B2F0-F53123C1F1D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SouthSumatra_Data_Template.xlsx" TargetMode="External"/><Relationship Id="rId3" Type="http://schemas.openxmlformats.org/officeDocument/2006/relationships/hyperlink" Target="SouthSumatra_Data_Template.xlsx" TargetMode="External"/><Relationship Id="rId7" Type="http://schemas.openxmlformats.org/officeDocument/2006/relationships/hyperlink" Target="SouthSumatra_Data_Template.xlsx" TargetMode="External"/><Relationship Id="rId2" Type="http://schemas.openxmlformats.org/officeDocument/2006/relationships/hyperlink" Target="SouthSumatra_Data_Template.xlsx" TargetMode="External"/><Relationship Id="rId1" Type="http://schemas.openxmlformats.org/officeDocument/2006/relationships/hyperlink" Target="SouthSumatra_Data_Template.xlsx" TargetMode="External"/><Relationship Id="rId6" Type="http://schemas.openxmlformats.org/officeDocument/2006/relationships/hyperlink" Target="SouthSumatra_Data_Template.xlsx" TargetMode="External"/><Relationship Id="rId5" Type="http://schemas.openxmlformats.org/officeDocument/2006/relationships/hyperlink" Target="SouthSumatra_Data_Template.xlsx" TargetMode="External"/><Relationship Id="rId4" Type="http://schemas.openxmlformats.org/officeDocument/2006/relationships/hyperlink" Target="SouthSumatra_Data_Template.xlsx" TargetMode="External"/><Relationship Id="rId9" Type="http://schemas.openxmlformats.org/officeDocument/2006/relationships/hyperlink" Target="SouthSumatra_Data_Template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umsel.bps.go.id/id/statistics-table/2/NjA0IzI=/persentase-penduduk-miskin-menurut-kabupaten-kota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umsel.bps.go.id/id/statistics-table/3/V2pOVWJWcHJURGg0U2pONFJYaExhVXB0TUhacVFUMDkjMw==/tingkat-pengangguran-terbuka--tpt--dan-tingkat-partisipasi-angkatan-kerja--tpak--menurut-kabupaten-kota-di-provinsi-sumatera-selatan--2018.html?year=2017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sumsel.bps.go.id/id/statistics-table/3/Tm10bFVGVklLMVF6UzBweFFuRm1XbWxaV0hCcVp6MDkjMw==/laju-pertumbuhan-produk-domestik-regional-bruto-per-kapita-atasdasar-harga-konstan-2010-menurut-kabupaten-kota-di-provinsi-sumatera-selatan--persen---2019.html?year=2022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sumsel.bps.go.id/id/statistics-table/2/ODYwIzI=/produk-domestik-regional-bruto-per-kapita-atas-dasar-harga-berlaku-menurut-kabupaten-kota--ribu-rupiah-.htm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sumsel.bps.go.id/id/statistics-table/3/V25GaFNHaExaMnhITm1sWmRrUlJZelJzYUc1SGR6MDkjMw==/indeks-pembangunan-manusia-menurut-kabupaten-kota-di-provinsi-sumatera-selatan--2021.html?year=2016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sumsel.bps.go.id/id/statistics-table/2/OTc4IzI=/inflasi-di-provinsi-sumatera-selatan--month-to-month---2022-100-.html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sumsel.bps.go.id/id/statistics-table/3/UkVkWGJVZFNWakl6VWxKVFQwWjVWeTlSZDNabVFUMDkjMw==/jumlah-dan-persentase-penduduk-miskin-menurut-kabupaten-kota-di-provinsi-sumatera-selatan--2017.html?year=2017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sumsel.bps.go.id/id/statistics-table/2/NjIzIzI=/rasio-gini-menurut-kabupaten-kot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48235"/>
  </sheetPr>
  <dimension ref="A1:F26"/>
  <sheetViews>
    <sheetView topLeftCell="A11" zoomScaleNormal="100" workbookViewId="0">
      <selection activeCell="D20" sqref="D20"/>
    </sheetView>
  </sheetViews>
  <sheetFormatPr defaultColWidth="8.7109375" defaultRowHeight="15"/>
  <cols>
    <col min="1" max="1" width="14" customWidth="1"/>
    <col min="2" max="2" width="38" customWidth="1"/>
    <col min="3" max="6" width="14" customWidth="1"/>
  </cols>
  <sheetData>
    <row r="1" spans="1:6" ht="24" customHeight="1">
      <c r="A1" s="10" t="s">
        <v>0</v>
      </c>
      <c r="B1" s="10"/>
      <c r="C1" s="10"/>
      <c r="D1" s="10"/>
      <c r="E1" s="10"/>
      <c r="F1" s="10"/>
    </row>
    <row r="2" spans="1:6" ht="30" customHeight="1">
      <c r="A2" s="9" t="s">
        <v>1</v>
      </c>
      <c r="B2" s="9"/>
      <c r="C2" s="9"/>
      <c r="D2" s="9"/>
      <c r="E2" s="9"/>
      <c r="F2" s="9"/>
    </row>
    <row r="4" spans="1:6" ht="15" customHeight="1">
      <c r="A4" s="8" t="s">
        <v>2</v>
      </c>
      <c r="B4" s="8"/>
      <c r="C4" s="8"/>
      <c r="D4" s="8"/>
      <c r="E4" s="8"/>
      <c r="F4" s="8"/>
    </row>
    <row r="5" spans="1:6" ht="30" customHeight="1">
      <c r="A5" s="7" t="s">
        <v>3</v>
      </c>
      <c r="B5" s="7"/>
      <c r="C5" s="7"/>
      <c r="D5" s="7"/>
      <c r="E5" s="7"/>
      <c r="F5" s="7"/>
    </row>
    <row r="6" spans="1:6" ht="30" customHeight="1">
      <c r="A6" s="7" t="s">
        <v>4</v>
      </c>
      <c r="B6" s="7"/>
      <c r="C6" s="7"/>
      <c r="D6" s="7"/>
      <c r="E6" s="7"/>
      <c r="F6" s="7"/>
    </row>
    <row r="7" spans="1:6" ht="30" customHeight="1">
      <c r="A7" s="7" t="s">
        <v>5</v>
      </c>
      <c r="B7" s="7"/>
      <c r="C7" s="7"/>
      <c r="D7" s="7"/>
      <c r="E7" s="7"/>
      <c r="F7" s="7"/>
    </row>
    <row r="8" spans="1:6" ht="30" customHeight="1">
      <c r="A8" s="7" t="s">
        <v>6</v>
      </c>
      <c r="B8" s="7"/>
      <c r="C8" s="7"/>
      <c r="D8" s="7"/>
      <c r="E8" s="7"/>
      <c r="F8" s="7"/>
    </row>
    <row r="9" spans="1:6" ht="30" customHeight="1">
      <c r="A9" s="7" t="s">
        <v>7</v>
      </c>
      <c r="B9" s="7"/>
      <c r="C9" s="7"/>
      <c r="D9" s="7"/>
      <c r="E9" s="7"/>
      <c r="F9" s="7"/>
    </row>
    <row r="10" spans="1:6" ht="30" customHeight="1">
      <c r="A10" s="7" t="s">
        <v>8</v>
      </c>
      <c r="B10" s="7"/>
      <c r="C10" s="7"/>
      <c r="D10" s="7"/>
      <c r="E10" s="7"/>
      <c r="F10" s="7"/>
    </row>
    <row r="11" spans="1:6" ht="30" customHeight="1">
      <c r="A11" s="7" t="s">
        <v>9</v>
      </c>
      <c r="B11" s="7"/>
      <c r="C11" s="7"/>
      <c r="D11" s="7"/>
      <c r="E11" s="7"/>
      <c r="F11" s="7"/>
    </row>
    <row r="12" spans="1:6" ht="30" customHeight="1">
      <c r="A12" s="7" t="s">
        <v>10</v>
      </c>
      <c r="B12" s="7"/>
      <c r="C12" s="7"/>
      <c r="D12" s="7"/>
      <c r="E12" s="7"/>
      <c r="F12" s="7"/>
    </row>
    <row r="14" spans="1:6" ht="15" customHeight="1">
      <c r="A14" s="8" t="s">
        <v>11</v>
      </c>
      <c r="B14" s="8"/>
      <c r="C14" s="8"/>
      <c r="D14" s="8"/>
      <c r="E14" s="8"/>
      <c r="F14" s="8"/>
    </row>
    <row r="15" spans="1:6">
      <c r="A15" s="11" t="s">
        <v>12</v>
      </c>
      <c r="B15" s="6" t="s">
        <v>13</v>
      </c>
      <c r="C15" s="6"/>
      <c r="D15" s="6"/>
      <c r="E15" s="6"/>
      <c r="F15" s="6"/>
    </row>
    <row r="16" spans="1:6">
      <c r="A16" s="12" t="s">
        <v>14</v>
      </c>
      <c r="B16" s="6" t="s">
        <v>15</v>
      </c>
      <c r="C16" s="6"/>
      <c r="D16" s="6"/>
      <c r="E16" s="6"/>
      <c r="F16" s="6"/>
    </row>
    <row r="18" spans="1:6" ht="15" customHeight="1">
      <c r="A18" s="8" t="s">
        <v>16</v>
      </c>
      <c r="B18" s="8"/>
      <c r="C18" s="8"/>
      <c r="D18" s="8"/>
      <c r="E18" s="8"/>
      <c r="F18" s="8"/>
    </row>
    <row r="19" spans="1:6">
      <c r="A19" s="13" t="s">
        <v>17</v>
      </c>
      <c r="B19" s="13" t="s">
        <v>18</v>
      </c>
      <c r="C19" s="13" t="s">
        <v>19</v>
      </c>
      <c r="D19" s="13" t="s">
        <v>20</v>
      </c>
    </row>
    <row r="20" spans="1:6">
      <c r="A20" s="12" t="s">
        <v>21</v>
      </c>
      <c r="B20" s="12" t="s">
        <v>22</v>
      </c>
      <c r="C20" s="14">
        <v>11.52</v>
      </c>
      <c r="D20" s="14">
        <v>11.2</v>
      </c>
    </row>
    <row r="21" spans="1:6">
      <c r="A21" s="12" t="s">
        <v>21</v>
      </c>
      <c r="B21" s="12" t="s">
        <v>23</v>
      </c>
      <c r="C21" s="14"/>
      <c r="D21" s="14">
        <v>9.8000000000000007</v>
      </c>
    </row>
    <row r="22" spans="1:6" ht="18" customHeight="1">
      <c r="A22" s="9" t="s">
        <v>24</v>
      </c>
      <c r="B22" s="9"/>
      <c r="C22" s="9"/>
      <c r="D22" s="9"/>
      <c r="E22" s="9"/>
      <c r="F22" s="9"/>
    </row>
    <row r="24" spans="1:6" ht="15" customHeight="1">
      <c r="A24" s="8" t="s">
        <v>25</v>
      </c>
      <c r="B24" s="8"/>
      <c r="C24" s="8"/>
      <c r="D24" s="8"/>
      <c r="E24" s="8"/>
      <c r="F24" s="8"/>
    </row>
    <row r="25" spans="1:6" ht="43.5" customHeight="1">
      <c r="A25" s="7" t="s">
        <v>26</v>
      </c>
      <c r="B25" s="7"/>
      <c r="C25" s="7"/>
      <c r="D25" s="7"/>
      <c r="E25" s="7"/>
      <c r="F25" s="7"/>
    </row>
    <row r="26" spans="1:6" ht="18" customHeight="1">
      <c r="A26" s="7" t="s">
        <v>27</v>
      </c>
      <c r="B26" s="7"/>
      <c r="C26" s="7"/>
      <c r="D26" s="7"/>
      <c r="E26" s="7"/>
      <c r="F26" s="7"/>
    </row>
  </sheetData>
  <mergeCells count="19">
    <mergeCell ref="A22:F22"/>
    <mergeCell ref="A24:F24"/>
    <mergeCell ref="A25:F25"/>
    <mergeCell ref="A26:F26"/>
    <mergeCell ref="A12:F12"/>
    <mergeCell ref="A14:F14"/>
    <mergeCell ref="B15:F15"/>
    <mergeCell ref="B16:F16"/>
    <mergeCell ref="A18:F18"/>
    <mergeCell ref="A7:F7"/>
    <mergeCell ref="A8:F8"/>
    <mergeCell ref="A9:F9"/>
    <mergeCell ref="A10:F10"/>
    <mergeCell ref="A11:F11"/>
    <mergeCell ref="A1:F1"/>
    <mergeCell ref="A2:F2"/>
    <mergeCell ref="A4:F4"/>
    <mergeCell ref="A5:F5"/>
    <mergeCell ref="A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I15"/>
  <sheetViews>
    <sheetView tabSelected="1" zoomScaleNormal="100" workbookViewId="0">
      <pane ySplit="4" topLeftCell="A5" activePane="bottomLeft" state="frozen"/>
      <selection pane="bottomLeft" activeCell="H5" sqref="H5"/>
    </sheetView>
  </sheetViews>
  <sheetFormatPr defaultColWidth="8.7109375" defaultRowHeight="15"/>
  <cols>
    <col min="1" max="1" width="20" customWidth="1"/>
    <col min="2" max="2" width="44" customWidth="1"/>
    <col min="3" max="3" width="11" customWidth="1"/>
    <col min="4" max="4" width="32" customWidth="1"/>
    <col min="5" max="6" width="14" customWidth="1"/>
    <col min="7" max="7" width="13" customWidth="1"/>
    <col min="8" max="8" width="16" customWidth="1"/>
    <col min="9" max="9" width="52" customWidth="1"/>
  </cols>
  <sheetData>
    <row r="1" spans="1:9" ht="18">
      <c r="A1" s="15" t="s">
        <v>28</v>
      </c>
    </row>
    <row r="2" spans="1:9">
      <c r="A2" s="16" t="s">
        <v>29</v>
      </c>
    </row>
    <row r="4" spans="1:9" ht="27.75" customHeight="1">
      <c r="A4" s="13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</row>
    <row r="5" spans="1:9">
      <c r="A5" s="17" t="s">
        <v>39</v>
      </c>
      <c r="B5" s="18" t="s">
        <v>40</v>
      </c>
      <c r="C5" s="18" t="s">
        <v>41</v>
      </c>
      <c r="D5" s="18" t="s">
        <v>42</v>
      </c>
      <c r="E5" s="19">
        <f>ROWS(Poverty_Rate!C10:M27)*COLUMNS(Poverty_Rate!C10:M27)</f>
        <v>198</v>
      </c>
      <c r="F5" s="19">
        <f>COUNT(Poverty_Rate!C10:M27)</f>
        <v>198</v>
      </c>
      <c r="G5" s="20">
        <f t="shared" ref="G5:G13" si="0">IFERROR(MIN(1,F5/E5),0)</f>
        <v>1</v>
      </c>
      <c r="H5" s="21" t="str">
        <f>IF(COUNTA(Poverty_Rate!C4:C7)=4,"Complete",IF(COUNTA(Poverty_Rate!C4:C7)=0,"Not started","Partial"))</f>
        <v>Partial</v>
      </c>
      <c r="I5" s="18" t="s">
        <v>43</v>
      </c>
    </row>
    <row r="6" spans="1:9">
      <c r="A6" s="17" t="s">
        <v>44</v>
      </c>
      <c r="B6" s="18" t="s">
        <v>45</v>
      </c>
      <c r="C6" s="18" t="s">
        <v>41</v>
      </c>
      <c r="D6" s="18" t="s">
        <v>42</v>
      </c>
      <c r="E6" s="19">
        <f>ROWS(Unemployment_TPT!C10:M27)*COLUMNS(Unemployment_TPT!C10:M27)</f>
        <v>198</v>
      </c>
      <c r="F6" s="19">
        <f>COUNT(Unemployment_TPT!C10:M27)</f>
        <v>198</v>
      </c>
      <c r="G6" s="20">
        <f t="shared" si="0"/>
        <v>1</v>
      </c>
      <c r="H6" s="21" t="str">
        <f>IF(COUNTA(Unemployment_TPT!C4:C7)=4,"Complete",IF(COUNTA(Unemployment_TPT!C4:C7)=0,"Not started","Partial"))</f>
        <v>Partial</v>
      </c>
      <c r="I6" s="18" t="s">
        <v>43</v>
      </c>
    </row>
    <row r="7" spans="1:9">
      <c r="A7" s="17" t="s">
        <v>46</v>
      </c>
      <c r="B7" s="18" t="s">
        <v>47</v>
      </c>
      <c r="C7" s="18" t="s">
        <v>41</v>
      </c>
      <c r="D7" s="18" t="s">
        <v>42</v>
      </c>
      <c r="E7" s="19">
        <f>ROWS(GRDP_Growth!C10:M27)*COLUMNS(GRDP_Growth!C10:M27)</f>
        <v>198</v>
      </c>
      <c r="F7" s="19">
        <f>COUNT(GRDP_Growth!C10:M27)</f>
        <v>187</v>
      </c>
      <c r="G7" s="20">
        <f t="shared" si="0"/>
        <v>0.94444444444444442</v>
      </c>
      <c r="H7" s="21" t="str">
        <f>IF(COUNTA(GRDP_Growth!C4:C7)=4,"Complete",IF(COUNTA(GRDP_Growth!C4:C7)=0,"Not started","Partial"))</f>
        <v>Complete</v>
      </c>
      <c r="I7" s="18" t="s">
        <v>43</v>
      </c>
    </row>
    <row r="8" spans="1:9">
      <c r="A8" s="17" t="s">
        <v>48</v>
      </c>
      <c r="B8" s="18" t="s">
        <v>49</v>
      </c>
      <c r="C8" s="18" t="s">
        <v>41</v>
      </c>
      <c r="D8" s="18" t="s">
        <v>42</v>
      </c>
      <c r="E8" s="19">
        <f>ROWS(GRDP_PerCapita!C10:M27)*COLUMNS(GRDP_PerCapita!C10:M27)</f>
        <v>198</v>
      </c>
      <c r="F8" s="19">
        <f>COUNT(GRDP_PerCapita!C10:M27)</f>
        <v>187</v>
      </c>
      <c r="G8" s="20">
        <f t="shared" si="0"/>
        <v>0.94444444444444442</v>
      </c>
      <c r="H8" s="21" t="str">
        <f>IF(COUNTA(GRDP_PerCapita!C4:C7)=4,"Complete",IF(COUNTA(GRDP_PerCapita!C4:C7)=0,"Not started","Partial"))</f>
        <v>Complete</v>
      </c>
      <c r="I8" s="18" t="s">
        <v>43</v>
      </c>
    </row>
    <row r="9" spans="1:9">
      <c r="A9" s="17" t="s">
        <v>50</v>
      </c>
      <c r="B9" s="18" t="s">
        <v>51</v>
      </c>
      <c r="C9" s="18" t="s">
        <v>41</v>
      </c>
      <c r="D9" s="18" t="s">
        <v>42</v>
      </c>
      <c r="E9" s="19">
        <f>ROWS(HDI_IPM!C10:M27)*COLUMNS(HDI_IPM!C10:M27)</f>
        <v>198</v>
      </c>
      <c r="F9" s="19">
        <f>COUNT(HDI_IPM!C10:M27)</f>
        <v>198</v>
      </c>
      <c r="G9" s="20">
        <f t="shared" si="0"/>
        <v>1</v>
      </c>
      <c r="H9" s="21" t="str">
        <f>IF(COUNTA(HDI_IPM!C4:C7)=4,"Complete",IF(COUNTA(HDI_IPM!C4:C7)=0,"Not started","Partial"))</f>
        <v>Partial</v>
      </c>
      <c r="I9" s="18" t="s">
        <v>43</v>
      </c>
    </row>
    <row r="10" spans="1:9">
      <c r="A10" s="17" t="s">
        <v>52</v>
      </c>
      <c r="B10" s="18" t="s">
        <v>53</v>
      </c>
      <c r="C10" s="18" t="s">
        <v>41</v>
      </c>
      <c r="D10" s="18" t="s">
        <v>54</v>
      </c>
      <c r="E10" s="22">
        <v>22</v>
      </c>
      <c r="F10" s="19">
        <f>COUNT(Inflation!C10:M27)</f>
        <v>8</v>
      </c>
      <c r="G10" s="20">
        <f t="shared" si="0"/>
        <v>0.36363636363636365</v>
      </c>
      <c r="H10" s="21" t="str">
        <f>IF(COUNTA(Inflation!C4:C7)=4,"Complete",IF(COUNTA(Inflation!C4:C7)=0,"Not started","Partial"))</f>
        <v>Complete</v>
      </c>
      <c r="I10" s="18" t="s">
        <v>55</v>
      </c>
    </row>
    <row r="11" spans="1:9">
      <c r="A11" s="17" t="s">
        <v>56</v>
      </c>
      <c r="B11" s="18" t="s">
        <v>57</v>
      </c>
      <c r="C11" s="18" t="s">
        <v>58</v>
      </c>
      <c r="D11" s="18" t="s">
        <v>42</v>
      </c>
      <c r="E11" s="19">
        <f>ROWS(Poverty_Count!C10:M27)*COLUMNS(Poverty_Count!C10:M27)</f>
        <v>198</v>
      </c>
      <c r="F11" s="19">
        <f>COUNT(Poverty_Count!C10:M27)</f>
        <v>162</v>
      </c>
      <c r="G11" s="20">
        <f t="shared" si="0"/>
        <v>0.81818181818181823</v>
      </c>
      <c r="H11" s="21" t="str">
        <f>IF(COUNTA(Poverty_Count!C4:C7)=4,"Complete",IF(COUNTA(Poverty_Count!C4:C7)=0,"Not started","Partial"))</f>
        <v>Complete</v>
      </c>
      <c r="I11" s="18" t="s">
        <v>43</v>
      </c>
    </row>
    <row r="12" spans="1:9">
      <c r="A12" s="17" t="s">
        <v>59</v>
      </c>
      <c r="B12" s="18" t="s">
        <v>60</v>
      </c>
      <c r="C12" s="18" t="s">
        <v>58</v>
      </c>
      <c r="D12" s="18" t="s">
        <v>61</v>
      </c>
      <c r="E12" s="22">
        <v>11</v>
      </c>
      <c r="F12" s="19">
        <f>COUNT(Gini!C10:M27)</f>
        <v>198</v>
      </c>
      <c r="G12" s="20">
        <f t="shared" si="0"/>
        <v>1</v>
      </c>
      <c r="H12" s="21" t="str">
        <f>IF(COUNTA(Gini!C4:C7)=4,"Complete",IF(COUNTA(Gini!C4:C7)=0,"Not started","Partial"))</f>
        <v>Partial</v>
      </c>
      <c r="I12" s="18" t="s">
        <v>62</v>
      </c>
    </row>
    <row r="13" spans="1:9">
      <c r="A13" s="17" t="s">
        <v>63</v>
      </c>
      <c r="B13" s="18" t="s">
        <v>64</v>
      </c>
      <c r="C13" s="18" t="s">
        <v>58</v>
      </c>
      <c r="D13" s="18" t="s">
        <v>65</v>
      </c>
      <c r="E13" s="19">
        <f>ROWS(GRDP_Structure!C10:M26)*COLUMNS(GRDP_Structure!C10:M26)</f>
        <v>187</v>
      </c>
      <c r="F13" s="19">
        <f>COUNT(GRDP_Structure!C10:M26)</f>
        <v>0</v>
      </c>
      <c r="G13" s="20">
        <f t="shared" si="0"/>
        <v>0</v>
      </c>
      <c r="H13" s="21" t="str">
        <f>IF(COUNTA(GRDP_Structure!C4:C7)=4,"Complete",IF(COUNTA(GRDP_Structure!C4:C7)=0,"Not started","Partial"))</f>
        <v>Not started</v>
      </c>
      <c r="I13" s="18" t="s">
        <v>43</v>
      </c>
    </row>
    <row r="15" spans="1:9">
      <c r="A15" s="5" t="s">
        <v>66</v>
      </c>
      <c r="B15" s="5"/>
      <c r="C15" s="5"/>
      <c r="D15" s="5"/>
      <c r="E15" s="23">
        <f>SUMIF($C$5:$C$13,"Core",E$5:E$13)</f>
        <v>1012</v>
      </c>
      <c r="F15" s="23">
        <f>SUMIF($C$5:$C$13,"Core",F$5:F$13)</f>
        <v>976</v>
      </c>
      <c r="G15" s="24">
        <f>IFERROR(MIN(1,F15/E15),0)</f>
        <v>0.96442687747035571</v>
      </c>
    </row>
  </sheetData>
  <mergeCells count="1">
    <mergeCell ref="A15:D15"/>
  </mergeCells>
  <hyperlinks>
    <hyperlink ref="A5" r:id="rId1" location="Poverty_Rate!A1" xr:uid="{00000000-0004-0000-0100-000000000000}"/>
    <hyperlink ref="A6" r:id="rId2" location="Unemployment_TPT!A1" xr:uid="{00000000-0004-0000-0100-000001000000}"/>
    <hyperlink ref="A7" r:id="rId3" location="GRDP_Growth!A1" xr:uid="{00000000-0004-0000-0100-000002000000}"/>
    <hyperlink ref="A8" r:id="rId4" location="GRDP_PerCapita!A1" xr:uid="{00000000-0004-0000-0100-000003000000}"/>
    <hyperlink ref="A9" r:id="rId5" location="HDI_IPM!A1" xr:uid="{00000000-0004-0000-0100-000004000000}"/>
    <hyperlink ref="A10" r:id="rId6" location="Inflation!A1" xr:uid="{00000000-0004-0000-0100-000005000000}"/>
    <hyperlink ref="A11" r:id="rId7" location="Poverty_Count!A1" xr:uid="{00000000-0004-0000-0100-000006000000}"/>
    <hyperlink ref="A12" r:id="rId8" location="Gini!A1" xr:uid="{00000000-0004-0000-0100-000007000000}"/>
    <hyperlink ref="A13" r:id="rId9" location="GRDP_Structure!A1" xr:uid="{00000000-0004-0000-0100-00000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1:N27"/>
  <sheetViews>
    <sheetView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P7" sqref="P7"/>
    </sheetView>
  </sheetViews>
  <sheetFormatPr defaultColWidth="8.7109375" defaultRowHeight="15"/>
  <cols>
    <col min="1" max="1" width="10" customWidth="1"/>
    <col min="2" max="2" width="44" customWidth="1"/>
    <col min="3" max="13" width="9.5703125" customWidth="1"/>
    <col min="14" max="14" width="12" customWidth="1"/>
  </cols>
  <sheetData>
    <row r="1" spans="1:14" ht="18">
      <c r="A1" s="15" t="s">
        <v>67</v>
      </c>
    </row>
    <row r="2" spans="1:14" ht="19.5" customHeight="1">
      <c r="A2" s="4" t="s">
        <v>68</v>
      </c>
      <c r="B2" s="4"/>
      <c r="C2" s="3" t="s">
        <v>69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30" customHeight="1">
      <c r="A3" s="4" t="s">
        <v>70</v>
      </c>
      <c r="B3" s="4"/>
      <c r="C3" s="2" t="s">
        <v>71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9.5" customHeight="1">
      <c r="A4" s="4" t="s">
        <v>72</v>
      </c>
      <c r="B4" s="4"/>
      <c r="C4" s="31" t="s">
        <v>181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9.5" customHeight="1">
      <c r="A5" s="4" t="s">
        <v>73</v>
      </c>
      <c r="B5" s="4"/>
      <c r="C5" s="32" t="s">
        <v>182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ht="19.5" customHeight="1">
      <c r="A6" s="4" t="s">
        <v>74</v>
      </c>
      <c r="B6" s="4"/>
      <c r="C6" s="31">
        <v>2026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30" customHeight="1">
      <c r="A7" s="4" t="s">
        <v>75</v>
      </c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9" spans="1:14" ht="24" customHeight="1">
      <c r="A9" s="13" t="s">
        <v>17</v>
      </c>
      <c r="B9" s="13" t="s">
        <v>18</v>
      </c>
      <c r="C9" s="13" t="s">
        <v>76</v>
      </c>
      <c r="D9" s="13" t="s">
        <v>77</v>
      </c>
      <c r="E9" s="13" t="s">
        <v>78</v>
      </c>
      <c r="F9" s="13" t="s">
        <v>79</v>
      </c>
      <c r="G9" s="13" t="s">
        <v>80</v>
      </c>
      <c r="H9" s="13" t="s">
        <v>81</v>
      </c>
      <c r="I9" s="13" t="s">
        <v>82</v>
      </c>
      <c r="J9" s="13" t="s">
        <v>83</v>
      </c>
      <c r="K9" s="13" t="s">
        <v>19</v>
      </c>
      <c r="L9" s="13" t="s">
        <v>20</v>
      </c>
      <c r="M9" s="13" t="s">
        <v>84</v>
      </c>
      <c r="N9" s="13" t="s">
        <v>85</v>
      </c>
    </row>
    <row r="10" spans="1:14">
      <c r="A10" s="25" t="s">
        <v>86</v>
      </c>
      <c r="B10" s="26" t="s">
        <v>87</v>
      </c>
      <c r="C10" s="30">
        <v>14.25</v>
      </c>
      <c r="D10" s="14">
        <v>13.54</v>
      </c>
      <c r="E10" s="14">
        <v>13.19</v>
      </c>
      <c r="F10" s="14">
        <v>12.8</v>
      </c>
      <c r="G10" s="14">
        <v>12.71</v>
      </c>
      <c r="H10" s="14">
        <v>12.66</v>
      </c>
      <c r="I10" s="14">
        <v>12.84</v>
      </c>
      <c r="J10" s="14">
        <v>11.9</v>
      </c>
      <c r="K10" s="14">
        <v>11.78</v>
      </c>
      <c r="L10" s="14">
        <v>10.97</v>
      </c>
      <c r="M10" s="14">
        <v>10.15</v>
      </c>
      <c r="N10" s="25">
        <f>COUNT(C10:M10)</f>
        <v>11</v>
      </c>
    </row>
    <row r="11" spans="1:14">
      <c r="A11" s="25" t="s">
        <v>88</v>
      </c>
      <c r="B11" s="12" t="s">
        <v>89</v>
      </c>
      <c r="C11" s="14">
        <v>13.22</v>
      </c>
      <c r="D11" s="14">
        <v>13.29</v>
      </c>
      <c r="E11" s="14">
        <v>12.95</v>
      </c>
      <c r="F11" s="14">
        <v>12.61</v>
      </c>
      <c r="G11" s="14">
        <v>12.77</v>
      </c>
      <c r="H11" s="14">
        <v>12.75</v>
      </c>
      <c r="I11" s="14">
        <v>12.62</v>
      </c>
      <c r="J11" s="14">
        <v>11.61</v>
      </c>
      <c r="K11" s="14">
        <v>11.46</v>
      </c>
      <c r="L11" s="14">
        <v>10.68</v>
      </c>
      <c r="M11" s="14">
        <v>10.08</v>
      </c>
      <c r="N11" s="25">
        <f>COUNT(C11:M11)</f>
        <v>11</v>
      </c>
    </row>
    <row r="12" spans="1:14">
      <c r="A12" s="25" t="s">
        <v>90</v>
      </c>
      <c r="B12" s="12" t="s">
        <v>91</v>
      </c>
      <c r="C12" s="14">
        <v>17.079999999999998</v>
      </c>
      <c r="D12" s="14">
        <v>16.03</v>
      </c>
      <c r="E12" s="14">
        <v>15.75</v>
      </c>
      <c r="F12" s="14">
        <v>15.28</v>
      </c>
      <c r="G12" s="14">
        <v>15.01</v>
      </c>
      <c r="H12" s="14">
        <v>14.73</v>
      </c>
      <c r="I12" s="14">
        <v>14.68</v>
      </c>
      <c r="J12" s="14">
        <v>13.23</v>
      </c>
      <c r="K12" s="14">
        <v>13.15</v>
      </c>
      <c r="L12" s="14">
        <v>12.08</v>
      </c>
      <c r="M12" s="14">
        <v>11.84</v>
      </c>
      <c r="N12" s="25">
        <f t="shared" ref="N10:N27" si="0">COUNT(C12:M12)</f>
        <v>11</v>
      </c>
    </row>
    <row r="13" spans="1:14">
      <c r="A13" s="25" t="s">
        <v>92</v>
      </c>
      <c r="B13" s="12" t="s">
        <v>93</v>
      </c>
      <c r="C13" s="14">
        <v>14.54</v>
      </c>
      <c r="D13" s="14">
        <v>13.56</v>
      </c>
      <c r="E13" s="14">
        <v>13.19</v>
      </c>
      <c r="F13" s="14">
        <v>12.56</v>
      </c>
      <c r="G13" s="14">
        <v>12.41</v>
      </c>
      <c r="H13" s="14">
        <v>12.32</v>
      </c>
      <c r="I13" s="14">
        <v>12.32</v>
      </c>
      <c r="J13" s="14">
        <v>11.12</v>
      </c>
      <c r="K13" s="14">
        <v>10.93</v>
      </c>
      <c r="L13" s="14">
        <v>9.7899999999999991</v>
      </c>
      <c r="M13" s="14">
        <v>9.4499999999999993</v>
      </c>
      <c r="N13" s="25">
        <f t="shared" si="0"/>
        <v>11</v>
      </c>
    </row>
    <row r="14" spans="1:14">
      <c r="A14" s="25" t="s">
        <v>94</v>
      </c>
      <c r="B14" s="12" t="s">
        <v>95</v>
      </c>
      <c r="C14" s="14">
        <v>18.02</v>
      </c>
      <c r="D14" s="14">
        <v>17.11</v>
      </c>
      <c r="E14" s="14">
        <v>16.809999999999999</v>
      </c>
      <c r="F14" s="14">
        <v>16.149999999999999</v>
      </c>
      <c r="G14" s="14">
        <v>15.92</v>
      </c>
      <c r="H14" s="14">
        <v>15.95</v>
      </c>
      <c r="I14" s="14">
        <v>16.46</v>
      </c>
      <c r="J14" s="14">
        <v>15.61</v>
      </c>
      <c r="K14" s="14">
        <v>15</v>
      </c>
      <c r="L14" s="14">
        <v>14.14</v>
      </c>
      <c r="M14" s="14">
        <v>13.69</v>
      </c>
      <c r="N14" s="25">
        <f t="shared" si="0"/>
        <v>11</v>
      </c>
    </row>
    <row r="15" spans="1:14">
      <c r="A15" s="25" t="s">
        <v>96</v>
      </c>
      <c r="B15" s="12" t="s">
        <v>97</v>
      </c>
      <c r="C15" s="14">
        <v>15.13</v>
      </c>
      <c r="D15" s="14">
        <v>14.3</v>
      </c>
      <c r="E15" s="14">
        <v>14.24</v>
      </c>
      <c r="F15" s="14">
        <v>13.76</v>
      </c>
      <c r="G15" s="14">
        <v>13.37</v>
      </c>
      <c r="H15" s="14">
        <v>13.5</v>
      </c>
      <c r="I15" s="14">
        <v>13.89</v>
      </c>
      <c r="J15" s="14">
        <v>13.34</v>
      </c>
      <c r="K15" s="14">
        <v>14.13</v>
      </c>
      <c r="L15" s="14">
        <v>13.44</v>
      </c>
      <c r="M15" s="14">
        <v>12.67</v>
      </c>
      <c r="N15" s="25">
        <f t="shared" si="0"/>
        <v>11</v>
      </c>
    </row>
    <row r="16" spans="1:14">
      <c r="A16" s="25" t="s">
        <v>98</v>
      </c>
      <c r="B16" s="12" t="s">
        <v>99</v>
      </c>
      <c r="C16" s="14">
        <v>18.350000000000001</v>
      </c>
      <c r="D16" s="14">
        <v>17.27</v>
      </c>
      <c r="E16" s="14">
        <v>16.75</v>
      </c>
      <c r="F16" s="14">
        <v>16.52</v>
      </c>
      <c r="G16" s="14">
        <v>16.41</v>
      </c>
      <c r="H16" s="14">
        <v>16.13</v>
      </c>
      <c r="I16" s="14">
        <v>15.84</v>
      </c>
      <c r="J16" s="14">
        <v>15.19</v>
      </c>
      <c r="K16" s="14">
        <v>14.9</v>
      </c>
      <c r="L16" s="14">
        <v>12.88</v>
      </c>
      <c r="M16" s="14">
        <v>9.9700000000000006</v>
      </c>
      <c r="N16" s="25">
        <f t="shared" si="0"/>
        <v>11</v>
      </c>
    </row>
    <row r="17" spans="1:14">
      <c r="A17" s="25" t="s">
        <v>100</v>
      </c>
      <c r="B17" s="12" t="s">
        <v>101</v>
      </c>
      <c r="C17" s="14">
        <v>12.45</v>
      </c>
      <c r="D17" s="14">
        <v>11.72</v>
      </c>
      <c r="E17" s="14">
        <v>11.47</v>
      </c>
      <c r="F17" s="14">
        <v>11.32</v>
      </c>
      <c r="G17" s="14">
        <v>11.33</v>
      </c>
      <c r="H17" s="14">
        <v>11.17</v>
      </c>
      <c r="I17" s="14">
        <v>10.75</v>
      </c>
      <c r="J17" s="14">
        <v>10</v>
      </c>
      <c r="K17" s="14">
        <v>9.58</v>
      </c>
      <c r="L17" s="14">
        <v>9.31</v>
      </c>
      <c r="M17" s="14">
        <v>8.48</v>
      </c>
      <c r="N17" s="25">
        <f t="shared" si="0"/>
        <v>11</v>
      </c>
    </row>
    <row r="18" spans="1:14">
      <c r="A18" s="25" t="s">
        <v>102</v>
      </c>
      <c r="B18" s="12" t="s">
        <v>103</v>
      </c>
      <c r="C18" s="14">
        <v>11.58</v>
      </c>
      <c r="D18" s="14">
        <v>10.95</v>
      </c>
      <c r="E18" s="14">
        <v>10.98</v>
      </c>
      <c r="F18" s="14">
        <v>10.64</v>
      </c>
      <c r="G18" s="14">
        <v>10.53</v>
      </c>
      <c r="H18" s="14">
        <v>10.85</v>
      </c>
      <c r="I18" s="14">
        <v>11.12</v>
      </c>
      <c r="J18" s="14">
        <v>10.56</v>
      </c>
      <c r="K18" s="14">
        <v>10.36</v>
      </c>
      <c r="L18" s="14">
        <v>9.86</v>
      </c>
      <c r="M18" s="14">
        <v>9.17</v>
      </c>
      <c r="N18" s="25">
        <f t="shared" si="0"/>
        <v>11</v>
      </c>
    </row>
    <row r="19" spans="1:14">
      <c r="A19" s="25" t="s">
        <v>104</v>
      </c>
      <c r="B19" s="12" t="s">
        <v>105</v>
      </c>
      <c r="C19" s="14">
        <v>11.24</v>
      </c>
      <c r="D19" s="14">
        <v>11.29</v>
      </c>
      <c r="E19" s="14">
        <v>11</v>
      </c>
      <c r="F19" s="14">
        <v>10.57</v>
      </c>
      <c r="G19" s="14">
        <v>10.43</v>
      </c>
      <c r="H19" s="14">
        <v>10.43</v>
      </c>
      <c r="I19" s="14">
        <v>10.6</v>
      </c>
      <c r="J19" s="14">
        <v>10.050000000000001</v>
      </c>
      <c r="K19" s="14">
        <v>9.99</v>
      </c>
      <c r="L19" s="14">
        <v>9.75</v>
      </c>
      <c r="M19" s="14">
        <v>8.86</v>
      </c>
      <c r="N19" s="25">
        <f t="shared" si="0"/>
        <v>11</v>
      </c>
    </row>
    <row r="20" spans="1:14">
      <c r="A20" s="25" t="s">
        <v>106</v>
      </c>
      <c r="B20" s="12" t="s">
        <v>107</v>
      </c>
      <c r="C20" s="14">
        <v>14.43</v>
      </c>
      <c r="D20" s="14">
        <v>13.8</v>
      </c>
      <c r="E20" s="14">
        <v>13.58</v>
      </c>
      <c r="F20" s="14">
        <v>13.19</v>
      </c>
      <c r="G20" s="14">
        <v>13.31</v>
      </c>
      <c r="H20" s="14">
        <v>13.36</v>
      </c>
      <c r="I20" s="14">
        <v>13.82</v>
      </c>
      <c r="J20" s="14">
        <v>12.33</v>
      </c>
      <c r="K20" s="14">
        <v>13.28</v>
      </c>
      <c r="L20" s="14">
        <v>12.3</v>
      </c>
      <c r="M20" s="14">
        <v>11.69</v>
      </c>
      <c r="N20" s="25">
        <f t="shared" si="0"/>
        <v>11</v>
      </c>
    </row>
    <row r="21" spans="1:14">
      <c r="A21" s="25" t="s">
        <v>108</v>
      </c>
      <c r="B21" s="12" t="s">
        <v>109</v>
      </c>
      <c r="C21" s="14">
        <v>13.33</v>
      </c>
      <c r="D21" s="14">
        <v>12.54</v>
      </c>
      <c r="E21" s="14">
        <v>12.44</v>
      </c>
      <c r="F21" s="14">
        <v>12.25</v>
      </c>
      <c r="G21" s="14">
        <v>12.3</v>
      </c>
      <c r="H21" s="14">
        <v>12.63</v>
      </c>
      <c r="I21" s="14">
        <v>13.35</v>
      </c>
      <c r="J21" s="14">
        <v>12.03</v>
      </c>
      <c r="K21" s="14">
        <v>11.8</v>
      </c>
      <c r="L21" s="14">
        <v>10.78</v>
      </c>
      <c r="M21" s="14">
        <v>10.48</v>
      </c>
      <c r="N21" s="25">
        <f t="shared" si="0"/>
        <v>11</v>
      </c>
    </row>
    <row r="22" spans="1:14">
      <c r="A22" s="25" t="s">
        <v>110</v>
      </c>
      <c r="B22" s="12" t="s">
        <v>111</v>
      </c>
      <c r="C22" s="14">
        <v>14.88</v>
      </c>
      <c r="D22" s="14">
        <v>14.26</v>
      </c>
      <c r="E22" s="14">
        <v>14.53</v>
      </c>
      <c r="F22" s="14">
        <v>13.81</v>
      </c>
      <c r="G22" s="14">
        <v>13.47</v>
      </c>
      <c r="H22" s="14">
        <v>12.62</v>
      </c>
      <c r="I22" s="14">
        <v>12.91</v>
      </c>
      <c r="J22" s="14">
        <v>11.76</v>
      </c>
      <c r="K22" s="14">
        <v>10.91</v>
      </c>
      <c r="L22" s="14">
        <v>9.82</v>
      </c>
      <c r="M22" s="14">
        <v>9.27</v>
      </c>
      <c r="N22" s="25">
        <f t="shared" si="0"/>
        <v>11</v>
      </c>
    </row>
    <row r="23" spans="1:14">
      <c r="A23" s="25" t="s">
        <v>112</v>
      </c>
      <c r="B23" s="12" t="s">
        <v>113</v>
      </c>
      <c r="C23" s="14">
        <v>19.73</v>
      </c>
      <c r="D23" s="14">
        <v>20</v>
      </c>
      <c r="E23" s="14">
        <v>19.489999999999998</v>
      </c>
      <c r="F23" s="14">
        <v>19.12</v>
      </c>
      <c r="G23" s="14">
        <v>19.12</v>
      </c>
      <c r="H23" s="14">
        <v>19.47</v>
      </c>
      <c r="I23" s="14">
        <v>20.11</v>
      </c>
      <c r="J23" s="14">
        <v>18.45</v>
      </c>
      <c r="K23" s="14">
        <v>18.260000000000002</v>
      </c>
      <c r="L23" s="14">
        <v>17.38</v>
      </c>
      <c r="M23" s="14">
        <v>15.25</v>
      </c>
      <c r="N23" s="25">
        <f t="shared" si="0"/>
        <v>11</v>
      </c>
    </row>
    <row r="24" spans="1:14">
      <c r="A24" s="25" t="s">
        <v>114</v>
      </c>
      <c r="B24" s="12" t="s">
        <v>115</v>
      </c>
      <c r="C24" s="14">
        <v>12.85</v>
      </c>
      <c r="D24" s="14">
        <v>12.04</v>
      </c>
      <c r="E24" s="14">
        <v>11.4</v>
      </c>
      <c r="F24" s="14">
        <v>10.95</v>
      </c>
      <c r="G24" s="14">
        <v>10.9</v>
      </c>
      <c r="H24" s="14">
        <v>10.89</v>
      </c>
      <c r="I24" s="14">
        <v>11.34</v>
      </c>
      <c r="J24" s="14">
        <v>10.48</v>
      </c>
      <c r="K24" s="14">
        <v>10.220000000000001</v>
      </c>
      <c r="L24" s="14">
        <v>9.77</v>
      </c>
      <c r="M24" s="14">
        <v>9.0399999999999991</v>
      </c>
      <c r="N24" s="25">
        <f t="shared" si="0"/>
        <v>11</v>
      </c>
    </row>
    <row r="25" spans="1:14">
      <c r="A25" s="25" t="s">
        <v>116</v>
      </c>
      <c r="B25" s="12" t="s">
        <v>117</v>
      </c>
      <c r="C25" s="14">
        <v>12.12</v>
      </c>
      <c r="D25" s="14">
        <v>11.44</v>
      </c>
      <c r="E25" s="14">
        <v>11.42</v>
      </c>
      <c r="F25" s="14">
        <v>11.39</v>
      </c>
      <c r="G25" s="14">
        <v>11.61</v>
      </c>
      <c r="H25" s="14">
        <v>11.59</v>
      </c>
      <c r="I25" s="14">
        <v>12.2</v>
      </c>
      <c r="J25" s="14">
        <v>11.28</v>
      </c>
      <c r="K25" s="14">
        <v>11.23</v>
      </c>
      <c r="L25" s="14">
        <v>10.130000000000001</v>
      </c>
      <c r="M25" s="14">
        <v>9.75</v>
      </c>
      <c r="N25" s="25">
        <f t="shared" si="0"/>
        <v>11</v>
      </c>
    </row>
    <row r="26" spans="1:14">
      <c r="A26" s="25" t="s">
        <v>118</v>
      </c>
      <c r="B26" s="12" t="s">
        <v>119</v>
      </c>
      <c r="C26" s="14">
        <v>9.64</v>
      </c>
      <c r="D26" s="14">
        <v>9.19</v>
      </c>
      <c r="E26" s="14">
        <v>8.89</v>
      </c>
      <c r="F26" s="14">
        <v>8.77</v>
      </c>
      <c r="G26" s="14">
        <v>8.9</v>
      </c>
      <c r="H26" s="14">
        <v>9.07</v>
      </c>
      <c r="I26" s="14">
        <v>9.4</v>
      </c>
      <c r="J26" s="14">
        <v>8.4700000000000006</v>
      </c>
      <c r="K26" s="14">
        <v>8.8800000000000008</v>
      </c>
      <c r="L26" s="14">
        <v>8.18</v>
      </c>
      <c r="M26" s="14">
        <v>7.7</v>
      </c>
      <c r="N26" s="25">
        <f t="shared" si="0"/>
        <v>11</v>
      </c>
    </row>
    <row r="27" spans="1:14">
      <c r="A27" s="25" t="s">
        <v>120</v>
      </c>
      <c r="B27" s="12" t="s">
        <v>121</v>
      </c>
      <c r="C27" s="14">
        <v>15.16</v>
      </c>
      <c r="D27" s="14">
        <v>13.99</v>
      </c>
      <c r="E27" s="14">
        <v>13.12</v>
      </c>
      <c r="F27" s="14">
        <v>13.02</v>
      </c>
      <c r="G27" s="14">
        <v>12.95</v>
      </c>
      <c r="H27" s="14">
        <v>12.71</v>
      </c>
      <c r="I27" s="14">
        <v>13.23</v>
      </c>
      <c r="J27" s="14">
        <v>12.68</v>
      </c>
      <c r="K27" s="14">
        <v>12.65</v>
      </c>
      <c r="L27" s="14">
        <v>11.14</v>
      </c>
      <c r="M27" s="14">
        <v>10.49</v>
      </c>
      <c r="N27" s="25">
        <f t="shared" si="0"/>
        <v>11</v>
      </c>
    </row>
  </sheetData>
  <mergeCells count="12">
    <mergeCell ref="A5:B5"/>
    <mergeCell ref="C5:N5"/>
    <mergeCell ref="A6:B6"/>
    <mergeCell ref="C6:N6"/>
    <mergeCell ref="A7:B7"/>
    <mergeCell ref="C7:N7"/>
    <mergeCell ref="A2:B2"/>
    <mergeCell ref="C2:N2"/>
    <mergeCell ref="A3:B3"/>
    <mergeCell ref="C3:N3"/>
    <mergeCell ref="A4:B4"/>
    <mergeCell ref="C4:N4"/>
  </mergeCells>
  <dataValidations count="1">
    <dataValidation type="decimal" allowBlank="1" showErrorMessage="1" errorTitle="Numbers only" error="Enter a number only. Leave the cell blank if the data is not available (do not type 0, a dash, or n/a)." sqref="D10:M27 C11:C27" xr:uid="{00000000-0002-0000-0200-000000000000}">
      <formula1>-100000000</formula1>
      <formula2>100000000</formula2>
    </dataValidation>
  </dataValidations>
  <hyperlinks>
    <hyperlink ref="C5" r:id="rId1" display="https://sumsel.bps.go.id/id/statistics-table/2/NjA0IzI=/persentase-penduduk-miskin-menurut-kabupaten-kota.html" xr:uid="{1C6E6683-F430-440D-A9F6-EBC4777E5D3A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</sheetPr>
  <dimension ref="A1:N27"/>
  <sheetViews>
    <sheetView zoomScaleNormal="100" workbookViewId="0">
      <pane xSplit="2" ySplit="9" topLeftCell="C20" activePane="bottomRight" state="frozen"/>
      <selection pane="topRight" activeCell="C1" sqref="C1"/>
      <selection pane="bottomLeft" activeCell="A10" sqref="A10"/>
      <selection pane="bottomRight" activeCell="C6" sqref="C6:N6"/>
    </sheetView>
  </sheetViews>
  <sheetFormatPr defaultColWidth="8.7109375" defaultRowHeight="15"/>
  <cols>
    <col min="1" max="1" width="10" customWidth="1"/>
    <col min="2" max="2" width="44" customWidth="1"/>
    <col min="3" max="13" width="9.5703125" customWidth="1"/>
    <col min="14" max="14" width="12" customWidth="1"/>
  </cols>
  <sheetData>
    <row r="1" spans="1:14" ht="18">
      <c r="A1" s="15" t="s">
        <v>122</v>
      </c>
    </row>
    <row r="2" spans="1:14" ht="19.5" customHeight="1">
      <c r="A2" s="4" t="s">
        <v>68</v>
      </c>
      <c r="B2" s="4"/>
      <c r="C2" s="3" t="s">
        <v>123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30" customHeight="1">
      <c r="A3" s="4" t="s">
        <v>70</v>
      </c>
      <c r="B3" s="4"/>
      <c r="C3" s="2" t="s">
        <v>124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9.5" customHeight="1">
      <c r="A4" s="4" t="s">
        <v>72</v>
      </c>
      <c r="B4" s="4"/>
      <c r="C4" s="41" t="s">
        <v>184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3"/>
    </row>
    <row r="5" spans="1:14" ht="19.5" customHeight="1">
      <c r="A5" s="4" t="s">
        <v>73</v>
      </c>
      <c r="B5" s="4"/>
      <c r="C5" s="38" t="s">
        <v>183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40"/>
    </row>
    <row r="6" spans="1:14" ht="19.5" customHeight="1">
      <c r="A6" s="4" t="s">
        <v>74</v>
      </c>
      <c r="B6" s="4"/>
      <c r="C6" s="31">
        <v>2026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30" customHeight="1">
      <c r="A7" s="4" t="s">
        <v>75</v>
      </c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9" spans="1:14" ht="24" customHeight="1">
      <c r="A9" s="13" t="s">
        <v>17</v>
      </c>
      <c r="B9" s="13" t="s">
        <v>18</v>
      </c>
      <c r="C9" s="13" t="s">
        <v>76</v>
      </c>
      <c r="D9" s="13" t="s">
        <v>77</v>
      </c>
      <c r="E9" s="13" t="s">
        <v>78</v>
      </c>
      <c r="F9" s="13" t="s">
        <v>79</v>
      </c>
      <c r="G9" s="13" t="s">
        <v>80</v>
      </c>
      <c r="H9" s="13" t="s">
        <v>81</v>
      </c>
      <c r="I9" s="13" t="s">
        <v>82</v>
      </c>
      <c r="J9" s="13" t="s">
        <v>83</v>
      </c>
      <c r="K9" s="13" t="s">
        <v>19</v>
      </c>
      <c r="L9" s="13" t="s">
        <v>20</v>
      </c>
      <c r="M9" s="13" t="s">
        <v>84</v>
      </c>
      <c r="N9" s="13" t="s">
        <v>85</v>
      </c>
    </row>
    <row r="10" spans="1:14">
      <c r="A10" s="25" t="s">
        <v>86</v>
      </c>
      <c r="B10" s="26" t="s">
        <v>87</v>
      </c>
      <c r="C10" s="14">
        <v>5.5940000000000003</v>
      </c>
      <c r="D10" s="14">
        <v>5.2590000000000003</v>
      </c>
      <c r="E10" s="14">
        <v>4.3899999999999997</v>
      </c>
      <c r="F10" s="14">
        <v>4.2699999999999996</v>
      </c>
      <c r="G10" s="14">
        <v>4.53</v>
      </c>
      <c r="H10" s="14">
        <v>5.51</v>
      </c>
      <c r="I10" s="14">
        <v>4.9800000000000004</v>
      </c>
      <c r="J10" s="14">
        <v>4.63</v>
      </c>
      <c r="K10" s="14">
        <v>4.1100000000000003</v>
      </c>
      <c r="L10" s="14">
        <v>3.86</v>
      </c>
      <c r="M10" s="14">
        <v>3.69</v>
      </c>
      <c r="N10" s="25">
        <f>COUNT(D10:M10)</f>
        <v>10</v>
      </c>
    </row>
    <row r="11" spans="1:14">
      <c r="A11" s="25" t="s">
        <v>88</v>
      </c>
      <c r="B11" s="12" t="s">
        <v>89</v>
      </c>
      <c r="C11" s="14">
        <v>4.91</v>
      </c>
      <c r="D11" s="14">
        <v>4.7320000000000002</v>
      </c>
      <c r="E11" s="14">
        <v>4.5</v>
      </c>
      <c r="F11" s="14">
        <v>4.68</v>
      </c>
      <c r="G11" s="14">
        <v>4.58</v>
      </c>
      <c r="H11" s="14">
        <v>6.01</v>
      </c>
      <c r="I11" s="14">
        <v>4.57</v>
      </c>
      <c r="J11" s="14">
        <v>4.3899999999999997</v>
      </c>
      <c r="K11" s="14">
        <v>4.13</v>
      </c>
      <c r="L11" s="14">
        <v>4.05</v>
      </c>
      <c r="M11" s="14">
        <v>3.85</v>
      </c>
      <c r="N11" s="25">
        <f>COUNT(D11:M11)</f>
        <v>10</v>
      </c>
    </row>
    <row r="12" spans="1:14">
      <c r="A12" s="25" t="s">
        <v>90</v>
      </c>
      <c r="B12" s="12" t="s">
        <v>91</v>
      </c>
      <c r="C12" s="14">
        <v>3.3580000000000001</v>
      </c>
      <c r="D12" s="14">
        <v>3.343</v>
      </c>
      <c r="E12" s="14">
        <v>3.45</v>
      </c>
      <c r="F12" s="14">
        <v>2.65</v>
      </c>
      <c r="G12" s="14">
        <v>2.98</v>
      </c>
      <c r="H12" s="14">
        <v>3.29</v>
      </c>
      <c r="I12" s="14">
        <v>3.01</v>
      </c>
      <c r="J12" s="14">
        <v>3.75</v>
      </c>
      <c r="K12" s="14">
        <v>3.23</v>
      </c>
      <c r="L12" s="14">
        <v>3.38</v>
      </c>
      <c r="M12" s="14">
        <v>3.12</v>
      </c>
      <c r="N12" s="25">
        <f>COUNT(D12:M12)</f>
        <v>10</v>
      </c>
    </row>
    <row r="13" spans="1:14">
      <c r="A13" s="25" t="s">
        <v>92</v>
      </c>
      <c r="B13" s="12" t="s">
        <v>93</v>
      </c>
      <c r="C13" s="14">
        <v>4.99</v>
      </c>
      <c r="D13" s="14">
        <v>4.8070000000000004</v>
      </c>
      <c r="E13" s="14">
        <v>3.31</v>
      </c>
      <c r="F13" s="14">
        <v>4.33</v>
      </c>
      <c r="G13" s="14">
        <v>4.84</v>
      </c>
      <c r="H13" s="14">
        <v>4.9000000000000004</v>
      </c>
      <c r="I13" s="14">
        <v>5.03</v>
      </c>
      <c r="J13" s="14">
        <v>4.12</v>
      </c>
      <c r="K13" s="14">
        <v>3.92</v>
      </c>
      <c r="L13" s="14">
        <v>4.09</v>
      </c>
      <c r="M13" s="14">
        <v>4.13</v>
      </c>
      <c r="N13" s="25">
        <f>COUNT(D13:M13)</f>
        <v>10</v>
      </c>
    </row>
    <row r="14" spans="1:14">
      <c r="A14" s="25" t="s">
        <v>94</v>
      </c>
      <c r="B14" s="12" t="s">
        <v>95</v>
      </c>
      <c r="C14" s="14">
        <v>4.3680000000000003</v>
      </c>
      <c r="D14" s="14">
        <v>4.125</v>
      </c>
      <c r="E14" s="14">
        <v>4.33</v>
      </c>
      <c r="F14" s="14">
        <v>3.35</v>
      </c>
      <c r="G14" s="14">
        <v>3.68</v>
      </c>
      <c r="H14" s="14">
        <v>4.18</v>
      </c>
      <c r="I14" s="14">
        <v>3.6</v>
      </c>
      <c r="J14" s="14">
        <v>4.0199999999999996</v>
      </c>
      <c r="K14" s="14">
        <v>3.41</v>
      </c>
      <c r="L14" s="14">
        <v>3.11</v>
      </c>
      <c r="M14" s="14">
        <v>2.84</v>
      </c>
      <c r="N14" s="25">
        <f>COUNT(D14:M14)</f>
        <v>10</v>
      </c>
    </row>
    <row r="15" spans="1:14">
      <c r="A15" s="25" t="s">
        <v>96</v>
      </c>
      <c r="B15" s="12" t="s">
        <v>97</v>
      </c>
      <c r="C15" s="14">
        <v>2.89</v>
      </c>
      <c r="D15" s="14">
        <v>2.6840000000000002</v>
      </c>
      <c r="E15" s="14">
        <v>2.8</v>
      </c>
      <c r="F15" s="14">
        <v>3.26</v>
      </c>
      <c r="G15" s="14">
        <v>2.93</v>
      </c>
      <c r="H15" s="14">
        <v>3.29</v>
      </c>
      <c r="I15" s="14">
        <v>2.78</v>
      </c>
      <c r="J15" s="14">
        <v>1.92</v>
      </c>
      <c r="K15" s="14">
        <v>1.95</v>
      </c>
      <c r="L15" s="14">
        <v>1.94</v>
      </c>
      <c r="M15" s="14">
        <v>1.74</v>
      </c>
      <c r="N15" s="25">
        <f>COUNT(D15:M15)</f>
        <v>10</v>
      </c>
    </row>
    <row r="16" spans="1:14">
      <c r="A16" s="25" t="s">
        <v>98</v>
      </c>
      <c r="B16" s="12" t="s">
        <v>99</v>
      </c>
      <c r="C16" s="14">
        <v>5.4960000000000004</v>
      </c>
      <c r="D16" s="14">
        <v>4.8789999999999996</v>
      </c>
      <c r="E16" s="14">
        <v>2.75</v>
      </c>
      <c r="F16" s="14">
        <v>3.33</v>
      </c>
      <c r="G16" s="14">
        <v>4.1500000000000004</v>
      </c>
      <c r="H16" s="14">
        <v>4.79</v>
      </c>
      <c r="I16" s="14">
        <v>3.99</v>
      </c>
      <c r="J16" s="14">
        <v>4.4000000000000004</v>
      </c>
      <c r="K16" s="14">
        <v>2.58</v>
      </c>
      <c r="L16" s="14">
        <v>2.13</v>
      </c>
      <c r="M16" s="14">
        <v>2.04</v>
      </c>
      <c r="N16" s="25">
        <f t="shared" ref="N10:N27" si="0">COUNT(C16:M16)</f>
        <v>11</v>
      </c>
    </row>
    <row r="17" spans="1:14">
      <c r="A17" s="25" t="s">
        <v>100</v>
      </c>
      <c r="B17" s="12" t="s">
        <v>101</v>
      </c>
      <c r="C17" s="14">
        <v>4.2880000000000003</v>
      </c>
      <c r="D17" s="14">
        <v>4.0410000000000004</v>
      </c>
      <c r="E17" s="14">
        <v>3.65</v>
      </c>
      <c r="F17" s="14">
        <v>3.86</v>
      </c>
      <c r="G17" s="14">
        <v>3.94</v>
      </c>
      <c r="H17" s="14">
        <v>4.7300000000000004</v>
      </c>
      <c r="I17" s="14">
        <v>3.84</v>
      </c>
      <c r="J17" s="14">
        <v>3.39</v>
      </c>
      <c r="K17" s="14">
        <v>3.35</v>
      </c>
      <c r="L17" s="14">
        <v>3.24</v>
      </c>
      <c r="M17" s="14">
        <v>2.68</v>
      </c>
      <c r="N17" s="25">
        <f t="shared" si="0"/>
        <v>11</v>
      </c>
    </row>
    <row r="18" spans="1:14">
      <c r="A18" s="25" t="s">
        <v>102</v>
      </c>
      <c r="B18" s="12" t="s">
        <v>103</v>
      </c>
      <c r="C18" s="14">
        <v>3.1779999999999999</v>
      </c>
      <c r="D18" s="14">
        <v>2.9129999999999998</v>
      </c>
      <c r="E18" s="14">
        <v>3.54</v>
      </c>
      <c r="F18" s="14">
        <v>4.2</v>
      </c>
      <c r="G18" s="14">
        <v>2.99</v>
      </c>
      <c r="H18" s="14">
        <v>3.28</v>
      </c>
      <c r="I18" s="14">
        <v>3.23</v>
      </c>
      <c r="J18" s="14">
        <v>1.83</v>
      </c>
      <c r="K18" s="14">
        <v>1.81</v>
      </c>
      <c r="L18" s="14">
        <v>1.8</v>
      </c>
      <c r="M18" s="14">
        <v>1.92</v>
      </c>
      <c r="N18" s="25">
        <f t="shared" si="0"/>
        <v>11</v>
      </c>
    </row>
    <row r="19" spans="1:14">
      <c r="A19" s="25" t="s">
        <v>104</v>
      </c>
      <c r="B19" s="12" t="s">
        <v>105</v>
      </c>
      <c r="C19" s="14">
        <v>4.2960000000000003</v>
      </c>
      <c r="D19" s="14">
        <v>4.1459999999999999</v>
      </c>
      <c r="E19" s="14">
        <v>2.35</v>
      </c>
      <c r="F19" s="14">
        <v>3.55</v>
      </c>
      <c r="G19" s="14">
        <v>3.46</v>
      </c>
      <c r="H19" s="14">
        <v>3.81</v>
      </c>
      <c r="I19" s="14">
        <v>3.18</v>
      </c>
      <c r="J19" s="14">
        <v>4.79</v>
      </c>
      <c r="K19" s="14">
        <v>3.96</v>
      </c>
      <c r="L19" s="14">
        <v>3.45</v>
      </c>
      <c r="M19" s="14">
        <v>3.1</v>
      </c>
      <c r="N19" s="25">
        <f t="shared" si="0"/>
        <v>11</v>
      </c>
    </row>
    <row r="20" spans="1:14">
      <c r="A20" s="25" t="s">
        <v>106</v>
      </c>
      <c r="B20" s="12" t="s">
        <v>107</v>
      </c>
      <c r="C20" s="14">
        <v>2.492</v>
      </c>
      <c r="D20" s="14">
        <v>2.5139999999999998</v>
      </c>
      <c r="E20" s="14">
        <v>3.2</v>
      </c>
      <c r="F20" s="14">
        <v>2.4700000000000002</v>
      </c>
      <c r="G20" s="14">
        <v>3.29</v>
      </c>
      <c r="H20" s="14">
        <v>4.91</v>
      </c>
      <c r="I20" s="14">
        <v>3.07</v>
      </c>
      <c r="J20" s="14">
        <v>2.15</v>
      </c>
      <c r="K20" s="14">
        <v>2.1</v>
      </c>
      <c r="L20" s="14">
        <v>2.65</v>
      </c>
      <c r="M20" s="14">
        <v>2.93</v>
      </c>
      <c r="N20" s="25">
        <f t="shared" si="0"/>
        <v>11</v>
      </c>
    </row>
    <row r="21" spans="1:14">
      <c r="A21" s="25" t="s">
        <v>108</v>
      </c>
      <c r="B21" s="12" t="s">
        <v>109</v>
      </c>
      <c r="C21" s="14">
        <v>3.0059999999999998</v>
      </c>
      <c r="D21" s="14">
        <v>2.9849999999999999</v>
      </c>
      <c r="E21" s="14">
        <v>3.85</v>
      </c>
      <c r="F21" s="14">
        <v>2.29</v>
      </c>
      <c r="G21" s="14">
        <v>2.66</v>
      </c>
      <c r="H21" s="14">
        <v>3.61</v>
      </c>
      <c r="I21" s="14">
        <v>2.41</v>
      </c>
      <c r="J21" s="14">
        <v>3.59</v>
      </c>
      <c r="K21" s="14">
        <v>3.09</v>
      </c>
      <c r="L21" s="14">
        <v>2.84</v>
      </c>
      <c r="M21" s="14">
        <v>2.68</v>
      </c>
      <c r="N21" s="25">
        <f t="shared" si="0"/>
        <v>11</v>
      </c>
    </row>
    <row r="22" spans="1:14">
      <c r="A22" s="25" t="s">
        <v>110</v>
      </c>
      <c r="B22" s="12" t="s">
        <v>111</v>
      </c>
      <c r="C22" s="14">
        <v>4.0359999999999996</v>
      </c>
      <c r="D22" s="14">
        <v>3.9929999999999999</v>
      </c>
      <c r="E22" s="14">
        <v>4.43</v>
      </c>
      <c r="F22" s="14">
        <v>3.83</v>
      </c>
      <c r="G22" s="14">
        <v>4.1399999999999997</v>
      </c>
      <c r="H22" s="14">
        <v>3.74</v>
      </c>
      <c r="I22" s="14">
        <v>3.61</v>
      </c>
      <c r="J22" s="14">
        <v>4.3099999999999996</v>
      </c>
      <c r="K22" s="14">
        <v>3.99</v>
      </c>
      <c r="L22" s="14">
        <v>3.72</v>
      </c>
      <c r="M22" s="14">
        <v>3.69</v>
      </c>
      <c r="N22" s="25">
        <f t="shared" si="0"/>
        <v>11</v>
      </c>
    </row>
    <row r="23" spans="1:14">
      <c r="A23" s="25" t="s">
        <v>112</v>
      </c>
      <c r="B23" s="12" t="s">
        <v>113</v>
      </c>
      <c r="C23" s="14">
        <v>7.0659999999999998</v>
      </c>
      <c r="D23" s="14">
        <v>6.64</v>
      </c>
      <c r="E23" s="14">
        <v>6.11</v>
      </c>
      <c r="F23" s="14">
        <v>4.1900000000000004</v>
      </c>
      <c r="G23" s="14">
        <v>3.81</v>
      </c>
      <c r="H23" s="14">
        <v>6.88</v>
      </c>
      <c r="I23" s="14">
        <v>6.72</v>
      </c>
      <c r="J23" s="14">
        <v>5.29</v>
      </c>
      <c r="K23" s="14">
        <v>5.1100000000000003</v>
      </c>
      <c r="L23" s="14">
        <v>4.91</v>
      </c>
      <c r="M23" s="14">
        <v>4.78</v>
      </c>
      <c r="N23" s="25">
        <f t="shared" si="0"/>
        <v>11</v>
      </c>
    </row>
    <row r="24" spans="1:14">
      <c r="A24" s="25" t="s">
        <v>114</v>
      </c>
      <c r="B24" s="12" t="s">
        <v>115</v>
      </c>
      <c r="C24" s="14">
        <v>11.045999999999999</v>
      </c>
      <c r="D24" s="14">
        <v>10.263999999999999</v>
      </c>
      <c r="E24" s="14">
        <v>8.1999999999999993</v>
      </c>
      <c r="F24" s="14">
        <v>7.26</v>
      </c>
      <c r="G24" s="14">
        <v>8.01</v>
      </c>
      <c r="H24" s="14">
        <v>9.86</v>
      </c>
      <c r="I24" s="14">
        <v>10.11</v>
      </c>
      <c r="J24" s="14">
        <v>8.1999999999999993</v>
      </c>
      <c r="K24" s="14">
        <v>7.49</v>
      </c>
      <c r="L24" s="14">
        <v>6.98</v>
      </c>
      <c r="M24" s="14">
        <v>6.81</v>
      </c>
      <c r="N24" s="25">
        <f t="shared" si="0"/>
        <v>11</v>
      </c>
    </row>
    <row r="25" spans="1:14">
      <c r="A25" s="25" t="s">
        <v>116</v>
      </c>
      <c r="B25" s="12" t="s">
        <v>117</v>
      </c>
      <c r="C25" s="14">
        <v>6.2</v>
      </c>
      <c r="D25" s="14">
        <v>5.9409999999999998</v>
      </c>
      <c r="E25" s="14">
        <v>6.73</v>
      </c>
      <c r="F25" s="14">
        <v>7.04</v>
      </c>
      <c r="G25" s="14">
        <v>6.12</v>
      </c>
      <c r="H25" s="14">
        <v>6.64</v>
      </c>
      <c r="I25" s="14">
        <v>5.86</v>
      </c>
      <c r="J25" s="14">
        <v>5.25</v>
      </c>
      <c r="K25" s="14">
        <v>5.05</v>
      </c>
      <c r="L25" s="14">
        <v>4.9400000000000004</v>
      </c>
      <c r="M25" s="14">
        <v>4.72</v>
      </c>
      <c r="N25" s="25">
        <f t="shared" si="0"/>
        <v>11</v>
      </c>
    </row>
    <row r="26" spans="1:14">
      <c r="A26" s="25" t="s">
        <v>118</v>
      </c>
      <c r="B26" s="12" t="s">
        <v>119</v>
      </c>
      <c r="C26" s="14">
        <v>2.5720000000000001</v>
      </c>
      <c r="D26" s="14">
        <v>2.5539999999999998</v>
      </c>
      <c r="E26" s="14">
        <v>2.57</v>
      </c>
      <c r="F26" s="14">
        <v>3.06</v>
      </c>
      <c r="G26" s="14">
        <v>2.48</v>
      </c>
      <c r="H26" s="14">
        <v>2.5</v>
      </c>
      <c r="I26" s="14">
        <v>1.64</v>
      </c>
      <c r="J26" s="14">
        <v>3.62</v>
      </c>
      <c r="K26" s="14">
        <v>2.71</v>
      </c>
      <c r="L26" s="14">
        <v>2.34</v>
      </c>
      <c r="M26" s="14">
        <v>2.19</v>
      </c>
      <c r="N26" s="25">
        <f t="shared" si="0"/>
        <v>11</v>
      </c>
    </row>
    <row r="27" spans="1:14">
      <c r="A27" s="25" t="s">
        <v>120</v>
      </c>
      <c r="B27" s="12" t="s">
        <v>121</v>
      </c>
      <c r="C27" s="14">
        <v>6.8979999999999997</v>
      </c>
      <c r="D27" s="14">
        <v>6.5810000000000004</v>
      </c>
      <c r="E27" s="14">
        <v>4</v>
      </c>
      <c r="F27" s="14">
        <v>4.59</v>
      </c>
      <c r="G27" s="14">
        <v>4.71</v>
      </c>
      <c r="H27" s="14">
        <v>7.41</v>
      </c>
      <c r="I27" s="14">
        <v>6.27</v>
      </c>
      <c r="J27" s="14">
        <v>5.94</v>
      </c>
      <c r="K27" s="14">
        <v>5.64</v>
      </c>
      <c r="L27" s="14">
        <v>5.29</v>
      </c>
      <c r="M27" s="14">
        <v>5.01</v>
      </c>
      <c r="N27" s="25">
        <f t="shared" si="0"/>
        <v>11</v>
      </c>
    </row>
  </sheetData>
  <mergeCells count="12">
    <mergeCell ref="A5:B5"/>
    <mergeCell ref="C5:N5"/>
    <mergeCell ref="A6:B6"/>
    <mergeCell ref="C6:N6"/>
    <mergeCell ref="A7:B7"/>
    <mergeCell ref="C7:N7"/>
    <mergeCell ref="A2:B2"/>
    <mergeCell ref="C2:N2"/>
    <mergeCell ref="A3:B3"/>
    <mergeCell ref="C3:N3"/>
    <mergeCell ref="A4:B4"/>
    <mergeCell ref="C4:N4"/>
  </mergeCells>
  <phoneticPr fontId="15" type="noConversion"/>
  <dataValidations count="1">
    <dataValidation type="decimal" allowBlank="1" showErrorMessage="1" errorTitle="Numbers only" error="Enter a number only. Leave the cell blank if the data is not available (do not type 0, a dash, or n/a)." sqref="C10:M27" xr:uid="{00000000-0002-0000-0300-000000000000}">
      <formula1>-100000000</formula1>
      <formula2>100000000</formula2>
    </dataValidation>
  </dataValidations>
  <hyperlinks>
    <hyperlink ref="C5" r:id="rId1" display="https://sumsel.bps.go.id/id/statistics-table/3/V2pOVWJWcHJURGg0U2pONFJYaExhVXB0TUhacVFUMDkjMw==/tingkat-pengangguran-terbuka--tpt--dan-tingkat-partisipasi-angkatan-kerja--tpak--menurut-kabupaten-kota-di-provinsi-sumatera-selatan--2018.html?year=2017" xr:uid="{2B31940E-2510-49F6-AB23-E879D04F05DF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</sheetPr>
  <dimension ref="A1:N27"/>
  <sheetViews>
    <sheetView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P11" sqref="P11"/>
    </sheetView>
  </sheetViews>
  <sheetFormatPr defaultColWidth="8.7109375" defaultRowHeight="15"/>
  <cols>
    <col min="1" max="1" width="10" customWidth="1"/>
    <col min="2" max="2" width="44" customWidth="1"/>
    <col min="3" max="13" width="9.5703125" customWidth="1"/>
    <col min="14" max="14" width="12" customWidth="1"/>
  </cols>
  <sheetData>
    <row r="1" spans="1:14" ht="18">
      <c r="A1" s="15" t="s">
        <v>125</v>
      </c>
    </row>
    <row r="2" spans="1:14" ht="19.5" customHeight="1">
      <c r="A2" s="4" t="s">
        <v>68</v>
      </c>
      <c r="B2" s="4"/>
      <c r="C2" s="3" t="s">
        <v>126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30" customHeight="1">
      <c r="A3" s="4" t="s">
        <v>70</v>
      </c>
      <c r="B3" s="4"/>
      <c r="C3" s="2" t="s">
        <v>127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9.5" customHeight="1">
      <c r="A4" s="4" t="s">
        <v>72</v>
      </c>
      <c r="B4" s="4"/>
      <c r="C4" s="41" t="s">
        <v>187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3"/>
    </row>
    <row r="5" spans="1:14" ht="19.5" customHeight="1">
      <c r="A5" s="4" t="s">
        <v>73</v>
      </c>
      <c r="B5" s="4"/>
      <c r="C5" s="38" t="s">
        <v>188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40"/>
    </row>
    <row r="6" spans="1:14" ht="19.5" customHeight="1">
      <c r="A6" s="4" t="s">
        <v>74</v>
      </c>
      <c r="B6" s="4"/>
      <c r="C6" s="31">
        <v>2026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30" customHeight="1">
      <c r="A7" s="4" t="s">
        <v>75</v>
      </c>
      <c r="B7" s="4"/>
      <c r="C7" s="31" t="s">
        <v>189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9" spans="1:14" ht="24" customHeight="1">
      <c r="A9" s="13" t="s">
        <v>17</v>
      </c>
      <c r="B9" s="13" t="s">
        <v>18</v>
      </c>
      <c r="C9" s="13" t="s">
        <v>76</v>
      </c>
      <c r="D9" s="13" t="s">
        <v>77</v>
      </c>
      <c r="E9" s="13" t="s">
        <v>78</v>
      </c>
      <c r="F9" s="13" t="s">
        <v>79</v>
      </c>
      <c r="G9" s="13" t="s">
        <v>80</v>
      </c>
      <c r="H9" s="13" t="s">
        <v>81</v>
      </c>
      <c r="I9" s="13" t="s">
        <v>82</v>
      </c>
      <c r="J9" s="13" t="s">
        <v>83</v>
      </c>
      <c r="K9" s="13" t="s">
        <v>19</v>
      </c>
      <c r="L9" s="13" t="s">
        <v>20</v>
      </c>
      <c r="M9" s="13" t="s">
        <v>84</v>
      </c>
      <c r="N9" s="13" t="s">
        <v>85</v>
      </c>
    </row>
    <row r="10" spans="1:14">
      <c r="A10" s="25" t="s">
        <v>86</v>
      </c>
      <c r="B10" s="26" t="s">
        <v>87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25">
        <f t="shared" ref="N10:N27" si="0">COUNT(C10:M10)</f>
        <v>0</v>
      </c>
    </row>
    <row r="11" spans="1:14">
      <c r="A11" s="25" t="s">
        <v>88</v>
      </c>
      <c r="B11" s="12" t="s">
        <v>89</v>
      </c>
      <c r="C11" s="14">
        <v>2.2566666666666699</v>
      </c>
      <c r="D11" s="14">
        <v>2.58</v>
      </c>
      <c r="E11" s="14">
        <v>2.73</v>
      </c>
      <c r="F11" s="14">
        <v>3.58</v>
      </c>
      <c r="G11" s="14">
        <v>4.1900000000000004</v>
      </c>
      <c r="H11" s="14">
        <v>0.57999999999999996</v>
      </c>
      <c r="I11" s="14">
        <v>1.33</v>
      </c>
      <c r="J11" s="14">
        <v>4.43</v>
      </c>
      <c r="K11" s="14">
        <v>3.99</v>
      </c>
      <c r="L11" s="11">
        <v>3.99</v>
      </c>
      <c r="M11" s="14">
        <v>4.2300000000000004</v>
      </c>
      <c r="N11" s="25">
        <f t="shared" si="0"/>
        <v>11</v>
      </c>
    </row>
    <row r="12" spans="1:14">
      <c r="A12" s="25" t="s">
        <v>90</v>
      </c>
      <c r="B12" s="12" t="s">
        <v>91</v>
      </c>
      <c r="C12" s="14">
        <v>3.8146666666666702</v>
      </c>
      <c r="D12" s="14">
        <v>3.04</v>
      </c>
      <c r="E12" s="14">
        <v>3.72</v>
      </c>
      <c r="F12" s="14">
        <v>3.61</v>
      </c>
      <c r="G12" s="14">
        <v>3.49</v>
      </c>
      <c r="H12" s="14">
        <v>8.5299999999999994</v>
      </c>
      <c r="I12" s="14">
        <v>2.1800000000000002</v>
      </c>
      <c r="J12" s="14">
        <v>18.260000000000002</v>
      </c>
      <c r="K12" s="14">
        <v>3.98</v>
      </c>
      <c r="L12" s="11">
        <v>3.88</v>
      </c>
      <c r="M12" s="14">
        <v>4.01</v>
      </c>
      <c r="N12" s="25">
        <f t="shared" si="0"/>
        <v>11</v>
      </c>
    </row>
    <row r="13" spans="1:14">
      <c r="A13" s="25" t="s">
        <v>92</v>
      </c>
      <c r="B13" s="12" t="s">
        <v>93</v>
      </c>
      <c r="C13" s="14">
        <v>5.8253333333333304</v>
      </c>
      <c r="D13" s="14">
        <v>5.16</v>
      </c>
      <c r="E13" s="14">
        <v>5.57</v>
      </c>
      <c r="F13" s="14">
        <v>7.08</v>
      </c>
      <c r="G13" s="14">
        <v>5.38</v>
      </c>
      <c r="H13" s="14">
        <v>4.29</v>
      </c>
      <c r="I13" s="14">
        <v>5.09</v>
      </c>
      <c r="J13" s="14">
        <v>7.42</v>
      </c>
      <c r="K13" s="14">
        <v>7.32</v>
      </c>
      <c r="L13" s="11">
        <v>4.7</v>
      </c>
      <c r="M13" s="14">
        <v>4.28</v>
      </c>
      <c r="N13" s="25">
        <f t="shared" si="0"/>
        <v>11</v>
      </c>
    </row>
    <row r="14" spans="1:14">
      <c r="A14" s="25" t="s">
        <v>94</v>
      </c>
      <c r="B14" s="12" t="s">
        <v>95</v>
      </c>
      <c r="C14" s="14">
        <v>1.31666666666667</v>
      </c>
      <c r="D14" s="14">
        <v>1.26</v>
      </c>
      <c r="E14" s="14">
        <v>3.38</v>
      </c>
      <c r="F14" s="14">
        <v>3.04</v>
      </c>
      <c r="G14" s="14">
        <v>4.63</v>
      </c>
      <c r="H14" s="14">
        <v>-4.1500000000000004</v>
      </c>
      <c r="I14" s="14">
        <v>3.58</v>
      </c>
      <c r="J14" s="14">
        <v>5.65</v>
      </c>
      <c r="K14" s="14">
        <v>5.43</v>
      </c>
      <c r="L14" s="11">
        <v>3.87</v>
      </c>
      <c r="M14" s="14">
        <v>4.29</v>
      </c>
      <c r="N14" s="25">
        <f t="shared" si="0"/>
        <v>11</v>
      </c>
    </row>
    <row r="15" spans="1:14">
      <c r="A15" s="25" t="s">
        <v>96</v>
      </c>
      <c r="B15" s="12" t="s">
        <v>97</v>
      </c>
      <c r="C15" s="14">
        <v>3.8519999999999999</v>
      </c>
      <c r="D15" s="14">
        <v>3.92</v>
      </c>
      <c r="E15" s="14">
        <v>3.66</v>
      </c>
      <c r="F15" s="14">
        <v>4.54</v>
      </c>
      <c r="G15" s="14">
        <v>4.28</v>
      </c>
      <c r="H15" s="14">
        <v>2.9</v>
      </c>
      <c r="I15" s="14">
        <v>1.21</v>
      </c>
      <c r="J15" s="14">
        <v>2.93</v>
      </c>
      <c r="K15" s="14">
        <v>2.95</v>
      </c>
      <c r="L15" s="11">
        <v>3.91</v>
      </c>
      <c r="M15" s="14">
        <v>3.76</v>
      </c>
      <c r="N15" s="25">
        <f t="shared" si="0"/>
        <v>11</v>
      </c>
    </row>
    <row r="16" spans="1:14">
      <c r="A16" s="25" t="s">
        <v>98</v>
      </c>
      <c r="B16" s="12" t="s">
        <v>99</v>
      </c>
      <c r="C16" s="14">
        <v>1.07066666666667</v>
      </c>
      <c r="D16" s="14">
        <v>0.65</v>
      </c>
      <c r="E16" s="14">
        <v>1.54</v>
      </c>
      <c r="F16" s="14">
        <v>1.79</v>
      </c>
      <c r="G16" s="14">
        <v>2.89</v>
      </c>
      <c r="H16" s="14">
        <v>4.51</v>
      </c>
      <c r="I16" s="14">
        <v>2.14</v>
      </c>
      <c r="J16" s="14">
        <v>2.96</v>
      </c>
      <c r="K16" s="14">
        <v>3.25</v>
      </c>
      <c r="L16" s="11">
        <v>3.73</v>
      </c>
      <c r="M16" s="14">
        <v>3.94</v>
      </c>
      <c r="N16" s="25">
        <f t="shared" si="0"/>
        <v>11</v>
      </c>
    </row>
    <row r="17" spans="1:14">
      <c r="A17" s="25" t="s">
        <v>100</v>
      </c>
      <c r="B17" s="12" t="s">
        <v>101</v>
      </c>
      <c r="C17" s="14">
        <v>3.6973333333333298</v>
      </c>
      <c r="D17" s="14">
        <v>4.47</v>
      </c>
      <c r="E17" s="14">
        <v>3.66</v>
      </c>
      <c r="F17" s="14">
        <v>3.79</v>
      </c>
      <c r="G17" s="14">
        <v>3.64</v>
      </c>
      <c r="H17" s="14">
        <v>2.79</v>
      </c>
      <c r="I17" s="14">
        <v>1.96</v>
      </c>
      <c r="J17" s="14">
        <v>3.85</v>
      </c>
      <c r="K17" s="14">
        <v>3.64</v>
      </c>
      <c r="L17" s="11">
        <v>3.76</v>
      </c>
      <c r="M17" s="14">
        <v>4.04</v>
      </c>
      <c r="N17" s="25">
        <f t="shared" si="0"/>
        <v>11</v>
      </c>
    </row>
    <row r="18" spans="1:14">
      <c r="A18" s="25" t="s">
        <v>102</v>
      </c>
      <c r="B18" s="12" t="s">
        <v>103</v>
      </c>
      <c r="C18" s="14">
        <v>1.67533333333333</v>
      </c>
      <c r="D18" s="14">
        <v>3.83</v>
      </c>
      <c r="E18" s="14">
        <v>3.22</v>
      </c>
      <c r="F18" s="14">
        <v>3.82</v>
      </c>
      <c r="G18" s="14">
        <v>3.38</v>
      </c>
      <c r="H18" s="14">
        <v>-10.39</v>
      </c>
      <c r="I18" s="14">
        <v>2.5099999999999998</v>
      </c>
      <c r="J18" s="14">
        <v>3.47</v>
      </c>
      <c r="K18" s="14">
        <v>2.84</v>
      </c>
      <c r="L18" s="11">
        <v>3.28</v>
      </c>
      <c r="M18" s="14">
        <v>3.9</v>
      </c>
      <c r="N18" s="25">
        <f t="shared" si="0"/>
        <v>11</v>
      </c>
    </row>
    <row r="19" spans="1:14">
      <c r="A19" s="25" t="s">
        <v>104</v>
      </c>
      <c r="B19" s="12" t="s">
        <v>105</v>
      </c>
      <c r="C19" s="14">
        <v>3.6506666666666701</v>
      </c>
      <c r="D19" s="14">
        <v>5.01</v>
      </c>
      <c r="E19" s="14">
        <v>2.29</v>
      </c>
      <c r="F19" s="14">
        <v>3.23</v>
      </c>
      <c r="G19" s="14">
        <v>4.74</v>
      </c>
      <c r="H19" s="14">
        <v>4.7</v>
      </c>
      <c r="I19" s="14">
        <v>3.69</v>
      </c>
      <c r="J19" s="14">
        <v>4.3899999999999997</v>
      </c>
      <c r="K19" s="14">
        <v>4.05</v>
      </c>
      <c r="L19" s="11">
        <v>4.16</v>
      </c>
      <c r="M19" s="14">
        <v>4.87</v>
      </c>
      <c r="N19" s="25">
        <f t="shared" si="0"/>
        <v>11</v>
      </c>
    </row>
    <row r="20" spans="1:14">
      <c r="A20" s="25" t="s">
        <v>106</v>
      </c>
      <c r="B20" s="12" t="s">
        <v>107</v>
      </c>
      <c r="C20" s="14">
        <v>3.80066666666667</v>
      </c>
      <c r="D20" s="14">
        <v>3.78</v>
      </c>
      <c r="E20" s="14">
        <v>3.82</v>
      </c>
      <c r="F20" s="14">
        <v>3.88</v>
      </c>
      <c r="G20" s="14">
        <v>4.08</v>
      </c>
      <c r="H20" s="14">
        <v>3.46</v>
      </c>
      <c r="I20" s="14">
        <v>2.4900000000000002</v>
      </c>
      <c r="J20" s="14">
        <v>3.73</v>
      </c>
      <c r="K20" s="14">
        <v>3.45</v>
      </c>
      <c r="L20" s="11">
        <v>3.59</v>
      </c>
      <c r="M20" s="14">
        <v>3.77</v>
      </c>
      <c r="N20" s="25">
        <f t="shared" si="0"/>
        <v>11</v>
      </c>
    </row>
    <row r="21" spans="1:14">
      <c r="A21" s="25" t="s">
        <v>108</v>
      </c>
      <c r="B21" s="12" t="s">
        <v>109</v>
      </c>
      <c r="C21" s="14">
        <v>-1.26</v>
      </c>
      <c r="D21" s="14">
        <v>3.14</v>
      </c>
      <c r="E21" s="14">
        <v>2.4500000000000002</v>
      </c>
      <c r="F21" s="14">
        <v>2.97</v>
      </c>
      <c r="G21" s="14">
        <v>2.31</v>
      </c>
      <c r="H21" s="14">
        <v>-24.1</v>
      </c>
      <c r="I21" s="14">
        <v>2.37</v>
      </c>
      <c r="J21" s="14">
        <v>3.83</v>
      </c>
      <c r="K21" s="14">
        <v>3.18</v>
      </c>
      <c r="L21" s="11">
        <v>3.4</v>
      </c>
      <c r="M21" s="14">
        <v>4.33</v>
      </c>
      <c r="N21" s="25">
        <f t="shared" si="0"/>
        <v>11</v>
      </c>
    </row>
    <row r="22" spans="1:14">
      <c r="A22" s="25" t="s">
        <v>110</v>
      </c>
      <c r="B22" s="12" t="s">
        <v>111</v>
      </c>
      <c r="C22" s="14">
        <v>3.5713333333333299</v>
      </c>
      <c r="D22" s="14">
        <v>3.64</v>
      </c>
      <c r="E22" s="14">
        <v>4.5599999999999996</v>
      </c>
      <c r="F22" s="14">
        <v>4.9000000000000004</v>
      </c>
      <c r="G22" s="14">
        <v>4.6100000000000003</v>
      </c>
      <c r="H22" s="14">
        <v>-1.85</v>
      </c>
      <c r="I22" s="14">
        <v>0.66</v>
      </c>
      <c r="J22" s="14">
        <v>2.96</v>
      </c>
      <c r="K22" s="14">
        <v>3.24</v>
      </c>
      <c r="L22" s="11">
        <v>3.59</v>
      </c>
      <c r="M22" s="14">
        <v>3.68</v>
      </c>
      <c r="N22" s="25">
        <f t="shared" si="0"/>
        <v>11</v>
      </c>
    </row>
    <row r="23" spans="1:14">
      <c r="A23" s="25" t="s">
        <v>112</v>
      </c>
      <c r="B23" s="12" t="s">
        <v>113</v>
      </c>
      <c r="C23" s="14">
        <v>2.0113333333333299</v>
      </c>
      <c r="D23" s="14">
        <v>1.33</v>
      </c>
      <c r="E23" s="14">
        <v>3.35</v>
      </c>
      <c r="F23" s="14">
        <v>2.97</v>
      </c>
      <c r="G23" s="14">
        <v>2.72</v>
      </c>
      <c r="H23" s="14">
        <v>2.57</v>
      </c>
      <c r="I23" s="14">
        <v>1.06</v>
      </c>
      <c r="J23" s="14">
        <v>3.09</v>
      </c>
      <c r="K23" s="14">
        <v>3</v>
      </c>
      <c r="L23" s="11">
        <v>3.23</v>
      </c>
      <c r="M23" s="14">
        <v>3.78</v>
      </c>
      <c r="N23" s="25">
        <f t="shared" si="0"/>
        <v>11</v>
      </c>
    </row>
    <row r="24" spans="1:14">
      <c r="A24" s="25" t="s">
        <v>114</v>
      </c>
      <c r="B24" s="12" t="s">
        <v>115</v>
      </c>
      <c r="C24" s="14">
        <v>3.8279999999999998</v>
      </c>
      <c r="D24" s="14">
        <v>4.32</v>
      </c>
      <c r="E24" s="14">
        <v>4.83</v>
      </c>
      <c r="F24" s="14">
        <v>5.16</v>
      </c>
      <c r="G24" s="14">
        <v>3.91</v>
      </c>
      <c r="H24" s="14">
        <v>0.35</v>
      </c>
      <c r="I24" s="14">
        <v>2.09</v>
      </c>
      <c r="J24" s="14">
        <v>4.43</v>
      </c>
      <c r="K24" s="14">
        <v>4.33</v>
      </c>
      <c r="L24" s="11">
        <v>4.3899999999999997</v>
      </c>
      <c r="M24" s="14">
        <v>4.9000000000000004</v>
      </c>
      <c r="N24" s="25">
        <f t="shared" si="0"/>
        <v>11</v>
      </c>
    </row>
    <row r="25" spans="1:14">
      <c r="A25" s="25" t="s">
        <v>116</v>
      </c>
      <c r="B25" s="12" t="s">
        <v>117</v>
      </c>
      <c r="C25" s="14">
        <v>3.4593333333333298</v>
      </c>
      <c r="D25" s="14">
        <v>5.14</v>
      </c>
      <c r="E25" s="14">
        <v>3.78</v>
      </c>
      <c r="F25" s="14">
        <v>4.51</v>
      </c>
      <c r="G25" s="14">
        <v>3.23</v>
      </c>
      <c r="H25" s="14">
        <v>-2.13</v>
      </c>
      <c r="I25" s="14">
        <v>1.54</v>
      </c>
      <c r="J25" s="14">
        <v>3.62</v>
      </c>
      <c r="K25" s="14">
        <v>3.41</v>
      </c>
      <c r="L25" s="11">
        <v>3.65</v>
      </c>
      <c r="M25" s="14">
        <v>4.05</v>
      </c>
      <c r="N25" s="25">
        <f t="shared" si="0"/>
        <v>11</v>
      </c>
    </row>
    <row r="26" spans="1:14">
      <c r="A26" s="25" t="s">
        <v>118</v>
      </c>
      <c r="B26" s="12" t="s">
        <v>119</v>
      </c>
      <c r="C26" s="14">
        <v>2.1619999999999999</v>
      </c>
      <c r="D26" s="14">
        <v>3.28</v>
      </c>
      <c r="E26" s="14">
        <v>3.83</v>
      </c>
      <c r="F26" s="14">
        <v>3.2</v>
      </c>
      <c r="G26" s="14">
        <v>2.5499999999999998</v>
      </c>
      <c r="H26" s="14">
        <v>-2.93</v>
      </c>
      <c r="I26" s="14">
        <v>3.29</v>
      </c>
      <c r="J26" s="14">
        <v>3.82</v>
      </c>
      <c r="K26" s="14">
        <v>3.35</v>
      </c>
      <c r="L26" s="11">
        <v>4.09</v>
      </c>
      <c r="M26" s="14">
        <v>4.25</v>
      </c>
      <c r="N26" s="25">
        <f t="shared" si="0"/>
        <v>11</v>
      </c>
    </row>
    <row r="27" spans="1:14">
      <c r="A27" s="25" t="s">
        <v>120</v>
      </c>
      <c r="B27" s="12" t="s">
        <v>121</v>
      </c>
      <c r="C27" s="14">
        <v>4.1626666666666701</v>
      </c>
      <c r="D27" s="14">
        <v>4.71</v>
      </c>
      <c r="E27" s="14">
        <v>4.84</v>
      </c>
      <c r="F27" s="14">
        <v>4.4400000000000004</v>
      </c>
      <c r="G27" s="14">
        <v>3.89</v>
      </c>
      <c r="H27" s="14">
        <v>-0.21</v>
      </c>
      <c r="I27" s="14">
        <v>1.72</v>
      </c>
      <c r="J27" s="14">
        <v>3.12</v>
      </c>
      <c r="K27" s="14">
        <v>3.1</v>
      </c>
      <c r="L27" s="11">
        <v>3.32</v>
      </c>
      <c r="M27" s="14">
        <v>3.67</v>
      </c>
      <c r="N27" s="25">
        <f t="shared" si="0"/>
        <v>11</v>
      </c>
    </row>
  </sheetData>
  <mergeCells count="12">
    <mergeCell ref="A5:B5"/>
    <mergeCell ref="C5:N5"/>
    <mergeCell ref="A6:B6"/>
    <mergeCell ref="C6:N6"/>
    <mergeCell ref="A7:B7"/>
    <mergeCell ref="C7:N7"/>
    <mergeCell ref="A2:B2"/>
    <mergeCell ref="C2:N2"/>
    <mergeCell ref="A3:B3"/>
    <mergeCell ref="C3:N3"/>
    <mergeCell ref="A4:B4"/>
    <mergeCell ref="C4:N4"/>
  </mergeCells>
  <dataValidations count="1">
    <dataValidation type="decimal" allowBlank="1" showErrorMessage="1" errorTitle="Numbers only" error="Enter a number only. Leave the cell blank if the data is not available (do not type 0, a dash, or n/a)." sqref="C10:M27" xr:uid="{00000000-0002-0000-0400-000000000000}">
      <formula1>-100000000</formula1>
      <formula2>100000000</formula2>
    </dataValidation>
  </dataValidations>
  <hyperlinks>
    <hyperlink ref="C5" r:id="rId1" display="https://sumsel.bps.go.id/id/statistics-table/3/Tm10bFVGVklLMVF6UzBweFFuRm1XbWxaV0hCcVp6MDkjMw==/laju-pertumbuhan-produk-domestik-regional-bruto-per-kapita-atasdasar-harga-konstan-2010-menurut-kabupaten-kota-di-provinsi-sumatera-selatan--persen---2019.html?year=2022" xr:uid="{FA432CE1-69FB-4204-B65F-33B70B6D0EE4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8"/>
  </sheetPr>
  <dimension ref="A1:N27"/>
  <sheetViews>
    <sheetView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7" sqref="C7:N7"/>
    </sheetView>
  </sheetViews>
  <sheetFormatPr defaultColWidth="8.7109375" defaultRowHeight="15"/>
  <cols>
    <col min="1" max="1" width="10" customWidth="1"/>
    <col min="2" max="2" width="44" customWidth="1"/>
    <col min="3" max="13" width="9.5703125" customWidth="1"/>
    <col min="14" max="14" width="12" customWidth="1"/>
  </cols>
  <sheetData>
    <row r="1" spans="1:14" ht="18">
      <c r="A1" s="15" t="s">
        <v>128</v>
      </c>
    </row>
    <row r="2" spans="1:14" ht="19.5" customHeight="1">
      <c r="A2" s="4" t="s">
        <v>68</v>
      </c>
      <c r="B2" s="4"/>
      <c r="C2" s="3" t="s">
        <v>129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30" customHeight="1">
      <c r="A3" s="4" t="s">
        <v>70</v>
      </c>
      <c r="B3" s="4"/>
      <c r="C3" s="2" t="s">
        <v>130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9.5" customHeight="1">
      <c r="A4" s="4" t="s">
        <v>72</v>
      </c>
      <c r="B4" s="4"/>
      <c r="C4" s="35" t="s">
        <v>185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</row>
    <row r="5" spans="1:14" ht="19.5" customHeight="1">
      <c r="A5" s="4" t="s">
        <v>73</v>
      </c>
      <c r="B5" s="4"/>
      <c r="C5" s="38" t="s">
        <v>186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40"/>
    </row>
    <row r="6" spans="1:14" ht="19.5" customHeight="1">
      <c r="A6" s="4" t="s">
        <v>74</v>
      </c>
      <c r="B6" s="4"/>
      <c r="C6" s="1">
        <v>2026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30" customHeight="1">
      <c r="A7" s="4" t="s">
        <v>75</v>
      </c>
      <c r="B7" s="4"/>
      <c r="C7" s="31" t="s">
        <v>189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9" spans="1:14" ht="24" customHeight="1">
      <c r="A9" s="13" t="s">
        <v>17</v>
      </c>
      <c r="B9" s="13" t="s">
        <v>18</v>
      </c>
      <c r="C9" s="13" t="s">
        <v>76</v>
      </c>
      <c r="D9" s="13" t="s">
        <v>77</v>
      </c>
      <c r="E9" s="13" t="s">
        <v>78</v>
      </c>
      <c r="F9" s="13" t="s">
        <v>79</v>
      </c>
      <c r="G9" s="13" t="s">
        <v>80</v>
      </c>
      <c r="H9" s="13" t="s">
        <v>81</v>
      </c>
      <c r="I9" s="13" t="s">
        <v>82</v>
      </c>
      <c r="J9" s="13" t="s">
        <v>83</v>
      </c>
      <c r="K9" s="13" t="s">
        <v>19</v>
      </c>
      <c r="L9" s="13" t="s">
        <v>20</v>
      </c>
      <c r="M9" s="13" t="s">
        <v>84</v>
      </c>
      <c r="N9" s="13" t="s">
        <v>85</v>
      </c>
    </row>
    <row r="10" spans="1:14">
      <c r="A10" s="25" t="s">
        <v>86</v>
      </c>
      <c r="B10" s="26" t="s">
        <v>87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5">
        <f t="shared" ref="N10:N27" si="0">COUNT(C10:M10)</f>
        <v>0</v>
      </c>
    </row>
    <row r="11" spans="1:14">
      <c r="A11" s="25" t="s">
        <v>88</v>
      </c>
      <c r="B11" s="12" t="s">
        <v>89</v>
      </c>
      <c r="C11" s="14">
        <v>10674.63</v>
      </c>
      <c r="D11" s="14">
        <v>11470.61</v>
      </c>
      <c r="E11" s="14">
        <v>12373.95</v>
      </c>
      <c r="F11" s="14">
        <v>13383.13</v>
      </c>
      <c r="G11" s="14">
        <v>14647.67</v>
      </c>
      <c r="H11" s="14">
        <v>14815.09</v>
      </c>
      <c r="I11" s="14">
        <v>15730.26</v>
      </c>
      <c r="J11" s="14">
        <v>17613.75</v>
      </c>
      <c r="K11" s="14">
        <v>18969.37</v>
      </c>
      <c r="L11" s="14">
        <v>20465.169999999998</v>
      </c>
      <c r="M11" s="14">
        <v>22256.880000000001</v>
      </c>
      <c r="N11" s="25">
        <f t="shared" si="0"/>
        <v>11</v>
      </c>
    </row>
    <row r="12" spans="1:14">
      <c r="A12" s="25" t="s">
        <v>90</v>
      </c>
      <c r="B12" s="12" t="s">
        <v>91</v>
      </c>
      <c r="C12" s="14">
        <v>21831.86</v>
      </c>
      <c r="D12" s="14">
        <v>23312.04</v>
      </c>
      <c r="E12" s="14">
        <v>28563.11</v>
      </c>
      <c r="F12" s="14">
        <v>30547.99</v>
      </c>
      <c r="G12" s="14">
        <v>32841.57</v>
      </c>
      <c r="H12" s="14">
        <v>33823.699999999997</v>
      </c>
      <c r="I12" s="14">
        <v>35991.360000000001</v>
      </c>
      <c r="J12" s="14">
        <v>39404.79</v>
      </c>
      <c r="K12" s="14">
        <v>42965.33</v>
      </c>
      <c r="L12" s="14">
        <v>46649.01</v>
      </c>
      <c r="M12" s="14">
        <v>50960.56</v>
      </c>
      <c r="N12" s="25">
        <f t="shared" si="0"/>
        <v>11</v>
      </c>
    </row>
    <row r="13" spans="1:14">
      <c r="A13" s="25" t="s">
        <v>92</v>
      </c>
      <c r="B13" s="12" t="s">
        <v>93</v>
      </c>
      <c r="C13" s="14">
        <v>40934.379999999997</v>
      </c>
      <c r="D13" s="14">
        <v>41766.51</v>
      </c>
      <c r="E13" s="14">
        <v>45782.76</v>
      </c>
      <c r="F13" s="14">
        <v>52695.3</v>
      </c>
      <c r="G13" s="14">
        <v>57333.51</v>
      </c>
      <c r="H13" s="14">
        <v>57493.55</v>
      </c>
      <c r="I13" s="14">
        <v>69569.67</v>
      </c>
      <c r="J13" s="14">
        <v>113577.5</v>
      </c>
      <c r="K13" s="14">
        <v>118517.5</v>
      </c>
      <c r="L13" s="14">
        <v>116724.4</v>
      </c>
      <c r="M13" s="14">
        <v>128196.3</v>
      </c>
      <c r="N13" s="25">
        <f t="shared" si="0"/>
        <v>11</v>
      </c>
    </row>
    <row r="14" spans="1:14">
      <c r="A14" s="25" t="s">
        <v>94</v>
      </c>
      <c r="B14" s="12" t="s">
        <v>95</v>
      </c>
      <c r="C14" s="14">
        <v>13857.85</v>
      </c>
      <c r="D14" s="14">
        <v>14262.7</v>
      </c>
      <c r="E14" s="14">
        <v>15035.35</v>
      </c>
      <c r="F14" s="14">
        <v>15984.33</v>
      </c>
      <c r="G14" s="14">
        <v>17130.2</v>
      </c>
      <c r="H14" s="14">
        <v>17230.57</v>
      </c>
      <c r="I14" s="14">
        <v>19635.54</v>
      </c>
      <c r="J14" s="14">
        <v>27834.48</v>
      </c>
      <c r="K14" s="14">
        <v>29288.89</v>
      </c>
      <c r="L14" s="14">
        <v>29980.66</v>
      </c>
      <c r="M14" s="14">
        <v>32401.65</v>
      </c>
      <c r="N14" s="25">
        <f t="shared" si="0"/>
        <v>11</v>
      </c>
    </row>
    <row r="15" spans="1:14">
      <c r="A15" s="25" t="s">
        <v>96</v>
      </c>
      <c r="B15" s="12" t="s">
        <v>97</v>
      </c>
      <c r="C15" s="14">
        <v>14139.03</v>
      </c>
      <c r="D15" s="14">
        <v>14758.37</v>
      </c>
      <c r="E15" s="14">
        <v>15877.31</v>
      </c>
      <c r="F15" s="14">
        <v>17495.009999999998</v>
      </c>
      <c r="G15" s="14">
        <v>19062.78</v>
      </c>
      <c r="H15" s="14">
        <v>19237.349999999999</v>
      </c>
      <c r="I15" s="14">
        <v>20412.490000000002</v>
      </c>
      <c r="J15" s="14">
        <v>22342.12</v>
      </c>
      <c r="K15" s="14">
        <v>23526.55</v>
      </c>
      <c r="L15" s="14">
        <v>25471.85</v>
      </c>
      <c r="M15" s="14">
        <v>27232.74</v>
      </c>
      <c r="N15" s="25">
        <f t="shared" si="0"/>
        <v>11</v>
      </c>
    </row>
    <row r="16" spans="1:14">
      <c r="A16" s="25" t="s">
        <v>98</v>
      </c>
      <c r="B16" s="12" t="s">
        <v>99</v>
      </c>
      <c r="C16" s="14">
        <v>53388.15</v>
      </c>
      <c r="D16" s="14">
        <v>52773.52</v>
      </c>
      <c r="E16" s="14">
        <v>56020.03</v>
      </c>
      <c r="F16" s="14">
        <v>60861.46</v>
      </c>
      <c r="G16" s="14">
        <v>65811</v>
      </c>
      <c r="H16" s="14">
        <v>65943.88</v>
      </c>
      <c r="I16" s="14">
        <v>72643.72</v>
      </c>
      <c r="J16" s="14">
        <v>82431.539999999994</v>
      </c>
      <c r="K16" s="14">
        <v>85671.07</v>
      </c>
      <c r="L16" s="14">
        <v>92666.87</v>
      </c>
      <c r="M16" s="14">
        <v>98937.71</v>
      </c>
      <c r="N16" s="25">
        <f t="shared" si="0"/>
        <v>11</v>
      </c>
    </row>
    <row r="17" spans="1:14">
      <c r="A17" s="25" t="s">
        <v>100</v>
      </c>
      <c r="B17" s="12" t="s">
        <v>101</v>
      </c>
      <c r="C17" s="14">
        <v>20822.41</v>
      </c>
      <c r="D17" s="14">
        <v>22732.94</v>
      </c>
      <c r="E17" s="14">
        <v>24501.19</v>
      </c>
      <c r="F17" s="14">
        <v>26542.71</v>
      </c>
      <c r="G17" s="14">
        <v>28655.74</v>
      </c>
      <c r="H17" s="14">
        <v>29100.61</v>
      </c>
      <c r="I17" s="14">
        <v>30992.959999999999</v>
      </c>
      <c r="J17" s="14">
        <v>34142.57</v>
      </c>
      <c r="K17" s="14">
        <v>37636.519999999997</v>
      </c>
      <c r="L17" s="14">
        <v>39630.120000000003</v>
      </c>
      <c r="M17" s="14">
        <v>43763.6</v>
      </c>
      <c r="N17" s="25">
        <f t="shared" si="0"/>
        <v>11</v>
      </c>
    </row>
    <row r="18" spans="1:14">
      <c r="A18" s="25" t="s">
        <v>102</v>
      </c>
      <c r="B18" s="12" t="s">
        <v>103</v>
      </c>
      <c r="C18" s="14">
        <v>6376.85</v>
      </c>
      <c r="D18" s="14">
        <v>7014.62</v>
      </c>
      <c r="E18" s="14">
        <v>7592.14</v>
      </c>
      <c r="F18" s="14">
        <v>8136.43</v>
      </c>
      <c r="G18" s="14">
        <v>8785.7099999999991</v>
      </c>
      <c r="H18" s="14">
        <v>8971.73</v>
      </c>
      <c r="I18" s="14">
        <v>9530.24</v>
      </c>
      <c r="J18" s="14">
        <v>10328.5</v>
      </c>
      <c r="K18" s="14">
        <v>11090.39</v>
      </c>
      <c r="L18" s="14">
        <v>11908.37</v>
      </c>
      <c r="M18" s="14">
        <v>12801.41</v>
      </c>
      <c r="N18" s="25">
        <f t="shared" si="0"/>
        <v>11</v>
      </c>
    </row>
    <row r="19" spans="1:14">
      <c r="A19" s="25" t="s">
        <v>104</v>
      </c>
      <c r="B19" s="12" t="s">
        <v>105</v>
      </c>
      <c r="C19" s="14">
        <v>11101.33</v>
      </c>
      <c r="D19" s="14">
        <v>12132.11</v>
      </c>
      <c r="E19" s="14">
        <v>12823.9</v>
      </c>
      <c r="F19" s="14">
        <v>13727.12</v>
      </c>
      <c r="G19" s="14">
        <v>14935.85</v>
      </c>
      <c r="H19" s="14">
        <v>15282.54</v>
      </c>
      <c r="I19" s="14">
        <v>16243.46</v>
      </c>
      <c r="J19" s="14">
        <v>17832.84</v>
      </c>
      <c r="K19" s="14">
        <v>19464.919999999998</v>
      </c>
      <c r="L19" s="14">
        <v>21239.75</v>
      </c>
      <c r="M19" s="14">
        <v>22541.51</v>
      </c>
      <c r="N19" s="25">
        <f t="shared" si="0"/>
        <v>11</v>
      </c>
    </row>
    <row r="20" spans="1:14">
      <c r="A20" s="25" t="s">
        <v>106</v>
      </c>
      <c r="B20" s="12" t="s">
        <v>107</v>
      </c>
      <c r="C20" s="14">
        <v>8185.18</v>
      </c>
      <c r="D20" s="14">
        <v>8833.7800000000007</v>
      </c>
      <c r="E20" s="14">
        <v>9514.3799999999992</v>
      </c>
      <c r="F20" s="14">
        <v>10315.11</v>
      </c>
      <c r="G20" s="14">
        <v>11159.4</v>
      </c>
      <c r="H20" s="14">
        <v>11328.48</v>
      </c>
      <c r="I20" s="14">
        <v>12048.82</v>
      </c>
      <c r="J20" s="14">
        <v>13245.82</v>
      </c>
      <c r="K20" s="14">
        <v>14238.81</v>
      </c>
      <c r="L20" s="14">
        <v>15274.88</v>
      </c>
      <c r="M20" s="14">
        <v>16324.27</v>
      </c>
      <c r="N20" s="25">
        <f t="shared" si="0"/>
        <v>11</v>
      </c>
    </row>
    <row r="21" spans="1:14">
      <c r="A21" s="25" t="s">
        <v>108</v>
      </c>
      <c r="B21" s="12" t="s">
        <v>109</v>
      </c>
      <c r="C21" s="14">
        <v>3838.69</v>
      </c>
      <c r="D21" s="14">
        <v>4159.76</v>
      </c>
      <c r="E21" s="14">
        <v>4407.37</v>
      </c>
      <c r="F21" s="14">
        <v>4695.1400000000003</v>
      </c>
      <c r="G21" s="14">
        <v>4991.08</v>
      </c>
      <c r="H21" s="14">
        <v>5084.1499999999996</v>
      </c>
      <c r="I21" s="14">
        <v>5391.04</v>
      </c>
      <c r="J21" s="14">
        <v>5823.97</v>
      </c>
      <c r="K21" s="14">
        <v>6283.7</v>
      </c>
      <c r="L21" s="14">
        <v>6722.01</v>
      </c>
      <c r="M21" s="14">
        <v>7381.15</v>
      </c>
      <c r="N21" s="25">
        <f t="shared" si="0"/>
        <v>11</v>
      </c>
    </row>
    <row r="22" spans="1:14">
      <c r="A22" s="25" t="s">
        <v>110</v>
      </c>
      <c r="B22" s="12" t="s">
        <v>111</v>
      </c>
      <c r="C22" s="14">
        <v>5097.9399999999996</v>
      </c>
      <c r="D22" s="14">
        <v>5386.87</v>
      </c>
      <c r="E22" s="14">
        <v>5845.94</v>
      </c>
      <c r="F22" s="14">
        <v>6493.09</v>
      </c>
      <c r="G22" s="14">
        <v>7083.68</v>
      </c>
      <c r="H22" s="14">
        <v>7129.73</v>
      </c>
      <c r="I22" s="14">
        <v>7527.14</v>
      </c>
      <c r="J22" s="14">
        <v>8194.75</v>
      </c>
      <c r="K22" s="14">
        <v>8719.08</v>
      </c>
      <c r="L22" s="14">
        <v>9386.33</v>
      </c>
      <c r="M22" s="14">
        <v>10339.89</v>
      </c>
      <c r="N22" s="25">
        <f t="shared" si="0"/>
        <v>11</v>
      </c>
    </row>
    <row r="23" spans="1:14">
      <c r="A23" s="25" t="s">
        <v>112</v>
      </c>
      <c r="B23" s="12" t="s">
        <v>113</v>
      </c>
      <c r="C23" s="14">
        <v>5948.21</v>
      </c>
      <c r="D23" s="14">
        <v>6055.73</v>
      </c>
      <c r="E23" s="14">
        <v>6393.13</v>
      </c>
      <c r="F23" s="14">
        <v>6751.11</v>
      </c>
      <c r="G23" s="14">
        <v>7103.7</v>
      </c>
      <c r="H23" s="14">
        <v>7194.15</v>
      </c>
      <c r="I23" s="14">
        <v>7744</v>
      </c>
      <c r="J23" s="14">
        <v>8548.51</v>
      </c>
      <c r="K23" s="14">
        <v>9067.07</v>
      </c>
      <c r="L23" s="14">
        <v>9696.34</v>
      </c>
      <c r="M23" s="14">
        <v>10072.6</v>
      </c>
      <c r="N23" s="25">
        <f t="shared" si="0"/>
        <v>11</v>
      </c>
    </row>
    <row r="24" spans="1:14">
      <c r="A24" s="25" t="s">
        <v>114</v>
      </c>
      <c r="B24" s="12" t="s">
        <v>115</v>
      </c>
      <c r="C24" s="14">
        <v>108143.8</v>
      </c>
      <c r="D24" s="14">
        <v>118344.3</v>
      </c>
      <c r="E24" s="14">
        <v>129400.3</v>
      </c>
      <c r="F24" s="14">
        <v>141908.6</v>
      </c>
      <c r="G24" s="14">
        <v>154220.29999999999</v>
      </c>
      <c r="H24" s="14">
        <v>155203.9</v>
      </c>
      <c r="I24" s="14">
        <v>162032.79999999999</v>
      </c>
      <c r="J24" s="14">
        <v>179106.8</v>
      </c>
      <c r="K24" s="14">
        <v>194569.60000000001</v>
      </c>
      <c r="L24" s="14">
        <v>208196.7</v>
      </c>
      <c r="M24" s="14">
        <v>226466.1</v>
      </c>
      <c r="N24" s="25">
        <f t="shared" si="0"/>
        <v>11</v>
      </c>
    </row>
    <row r="25" spans="1:14">
      <c r="A25" s="25" t="s">
        <v>116</v>
      </c>
      <c r="B25" s="12" t="s">
        <v>117</v>
      </c>
      <c r="C25" s="14">
        <v>5575.39</v>
      </c>
      <c r="D25" s="14">
        <v>6109.11</v>
      </c>
      <c r="E25" s="14">
        <v>6586.29</v>
      </c>
      <c r="F25" s="14">
        <v>7169.13</v>
      </c>
      <c r="G25" s="14">
        <v>7791.06</v>
      </c>
      <c r="H25" s="14">
        <v>7867.32</v>
      </c>
      <c r="I25" s="14">
        <v>8345.93</v>
      </c>
      <c r="J25" s="14">
        <v>9201.5</v>
      </c>
      <c r="K25" s="14">
        <v>9834.1299999999992</v>
      </c>
      <c r="L25" s="14">
        <v>10533.23</v>
      </c>
      <c r="M25" s="14">
        <v>11336.75</v>
      </c>
      <c r="N25" s="25">
        <f t="shared" si="0"/>
        <v>11</v>
      </c>
    </row>
    <row r="26" spans="1:14">
      <c r="A26" s="25" t="s">
        <v>118</v>
      </c>
      <c r="B26" s="12" t="s">
        <v>119</v>
      </c>
      <c r="C26" s="14">
        <v>2277.69</v>
      </c>
      <c r="D26" s="14">
        <v>2414.36</v>
      </c>
      <c r="E26" s="14">
        <v>2548.52</v>
      </c>
      <c r="F26" s="14">
        <v>2673.29</v>
      </c>
      <c r="G26" s="14">
        <v>2791.62</v>
      </c>
      <c r="H26" s="14">
        <v>2830.35</v>
      </c>
      <c r="I26" s="14">
        <v>3001.94</v>
      </c>
      <c r="J26" s="14">
        <v>3255.93</v>
      </c>
      <c r="K26" s="14">
        <v>3490.63</v>
      </c>
      <c r="L26" s="14">
        <v>3811.06</v>
      </c>
      <c r="M26" s="14">
        <v>4170.9399999999996</v>
      </c>
      <c r="N26" s="25">
        <f t="shared" si="0"/>
        <v>11</v>
      </c>
    </row>
    <row r="27" spans="1:14">
      <c r="A27" s="25" t="s">
        <v>120</v>
      </c>
      <c r="B27" s="12" t="s">
        <v>121</v>
      </c>
      <c r="C27" s="14">
        <v>4671.08</v>
      </c>
      <c r="D27" s="14">
        <v>5150.6000000000004</v>
      </c>
      <c r="E27" s="14">
        <v>5636.43</v>
      </c>
      <c r="F27" s="14">
        <v>6135.2</v>
      </c>
      <c r="G27" s="14">
        <v>6643.68</v>
      </c>
      <c r="H27" s="14">
        <v>6717.98</v>
      </c>
      <c r="I27" s="14">
        <v>7030.47</v>
      </c>
      <c r="J27" s="14">
        <v>7687.85</v>
      </c>
      <c r="K27" s="14">
        <v>8233.7099999999991</v>
      </c>
      <c r="L27" s="14">
        <v>8717.86</v>
      </c>
      <c r="M27" s="14">
        <v>9386.7999999999993</v>
      </c>
      <c r="N27" s="25">
        <f t="shared" si="0"/>
        <v>11</v>
      </c>
    </row>
  </sheetData>
  <mergeCells count="12">
    <mergeCell ref="A5:B5"/>
    <mergeCell ref="C5:N5"/>
    <mergeCell ref="A6:B6"/>
    <mergeCell ref="C6:N6"/>
    <mergeCell ref="A7:B7"/>
    <mergeCell ref="C7:N7"/>
    <mergeCell ref="A2:B2"/>
    <mergeCell ref="C2:N2"/>
    <mergeCell ref="A3:B3"/>
    <mergeCell ref="C3:N3"/>
    <mergeCell ref="A4:B4"/>
    <mergeCell ref="C4:N4"/>
  </mergeCells>
  <dataValidations count="1">
    <dataValidation type="decimal" allowBlank="1" showErrorMessage="1" errorTitle="Numbers only" error="Enter a number only. Leave the cell blank if the data is not available (do not type 0, a dash, or n/a)." sqref="C10:M27" xr:uid="{00000000-0002-0000-0500-000000000000}">
      <formula1>-100000000</formula1>
      <formula2>100000000</formula2>
    </dataValidation>
  </dataValidations>
  <hyperlinks>
    <hyperlink ref="C5" r:id="rId1" display="https://sumsel.bps.go.id/id/statistics-table/2/ODYwIzI=/produk-domestik-regional-bruto-per-kapita-atas-dasar-harga-berlaku-menurut-kabupaten-kota--ribu-rupiah-.html" xr:uid="{588CF7B6-F5FC-4E54-B920-08E6343A8AE8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E78"/>
  </sheetPr>
  <dimension ref="A1:N27"/>
  <sheetViews>
    <sheetView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P12" sqref="P12"/>
    </sheetView>
  </sheetViews>
  <sheetFormatPr defaultColWidth="8.7109375" defaultRowHeight="15"/>
  <cols>
    <col min="1" max="1" width="10" customWidth="1"/>
    <col min="2" max="2" width="44" customWidth="1"/>
    <col min="3" max="13" width="9.5703125" customWidth="1"/>
    <col min="14" max="14" width="12" customWidth="1"/>
  </cols>
  <sheetData>
    <row r="1" spans="1:14" ht="18">
      <c r="A1" s="15" t="s">
        <v>131</v>
      </c>
    </row>
    <row r="2" spans="1:14" ht="19.5" customHeight="1">
      <c r="A2" s="4" t="s">
        <v>68</v>
      </c>
      <c r="B2" s="4"/>
      <c r="C2" s="3" t="s">
        <v>132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30" customHeight="1">
      <c r="A3" s="4" t="s">
        <v>70</v>
      </c>
      <c r="B3" s="4"/>
      <c r="C3" s="2" t="s">
        <v>133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9.5" customHeight="1">
      <c r="A4" s="4" t="s">
        <v>72</v>
      </c>
      <c r="B4" s="4"/>
      <c r="C4" s="47" t="s">
        <v>190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9"/>
    </row>
    <row r="5" spans="1:14" ht="19.5" customHeight="1">
      <c r="A5" s="4" t="s">
        <v>73</v>
      </c>
      <c r="B5" s="4"/>
      <c r="C5" s="38" t="s">
        <v>191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40"/>
    </row>
    <row r="6" spans="1:14" ht="19.5" customHeight="1">
      <c r="A6" s="4" t="s">
        <v>74</v>
      </c>
      <c r="B6" s="4"/>
      <c r="C6" s="1">
        <v>2026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30" customHeight="1">
      <c r="A7" s="4" t="s">
        <v>75</v>
      </c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9" spans="1:14" ht="24" customHeight="1">
      <c r="A9" s="13" t="s">
        <v>17</v>
      </c>
      <c r="B9" s="13" t="s">
        <v>18</v>
      </c>
      <c r="C9" s="13" t="s">
        <v>76</v>
      </c>
      <c r="D9" s="13" t="s">
        <v>77</v>
      </c>
      <c r="E9" s="13" t="s">
        <v>78</v>
      </c>
      <c r="F9" s="13" t="s">
        <v>79</v>
      </c>
      <c r="G9" s="13" t="s">
        <v>80</v>
      </c>
      <c r="H9" s="13" t="s">
        <v>81</v>
      </c>
      <c r="I9" s="13" t="s">
        <v>82</v>
      </c>
      <c r="J9" s="13" t="s">
        <v>83</v>
      </c>
      <c r="K9" s="13" t="s">
        <v>19</v>
      </c>
      <c r="L9" s="13" t="s">
        <v>20</v>
      </c>
      <c r="M9" s="13" t="s">
        <v>84</v>
      </c>
      <c r="N9" s="13" t="s">
        <v>85</v>
      </c>
    </row>
    <row r="10" spans="1:14">
      <c r="A10" s="25" t="s">
        <v>86</v>
      </c>
      <c r="B10" s="26" t="s">
        <v>87</v>
      </c>
      <c r="C10" s="14">
        <v>67.459999999999994</v>
      </c>
      <c r="D10" s="14">
        <v>68.239999999999995</v>
      </c>
      <c r="E10" s="14">
        <v>68.86</v>
      </c>
      <c r="F10" s="14">
        <v>69.39</v>
      </c>
      <c r="G10" s="14">
        <v>70.02</v>
      </c>
      <c r="H10" s="14">
        <v>71.62</v>
      </c>
      <c r="I10" s="14">
        <v>71.83</v>
      </c>
      <c r="J10" s="14">
        <v>72.48</v>
      </c>
      <c r="K10" s="14">
        <v>73.180000000000007</v>
      </c>
      <c r="L10" s="14">
        <v>73.84</v>
      </c>
      <c r="M10" s="14">
        <v>74.760000000000005</v>
      </c>
      <c r="N10" s="25">
        <f t="shared" ref="N10:N27" si="0">COUNT(C10:M10)</f>
        <v>11</v>
      </c>
    </row>
    <row r="11" spans="1:14">
      <c r="A11" s="25" t="s">
        <v>88</v>
      </c>
      <c r="B11" s="12" t="s">
        <v>89</v>
      </c>
      <c r="C11" s="14">
        <v>67.180000000000007</v>
      </c>
      <c r="D11" s="14">
        <v>67.47</v>
      </c>
      <c r="E11" s="14">
        <v>68.28</v>
      </c>
      <c r="F11" s="14">
        <v>69.010000000000005</v>
      </c>
      <c r="G11" s="14">
        <v>69.45</v>
      </c>
      <c r="H11" s="14">
        <v>71.5</v>
      </c>
      <c r="I11" s="14">
        <v>71.790000000000006</v>
      </c>
      <c r="J11" s="14">
        <v>72.41</v>
      </c>
      <c r="K11" s="14">
        <v>73.17</v>
      </c>
      <c r="L11" s="14">
        <v>73.7</v>
      </c>
      <c r="M11" s="14">
        <v>74.47</v>
      </c>
      <c r="N11" s="25">
        <f t="shared" si="0"/>
        <v>11</v>
      </c>
    </row>
    <row r="12" spans="1:14">
      <c r="A12" s="25" t="s">
        <v>90</v>
      </c>
      <c r="B12" s="12" t="s">
        <v>91</v>
      </c>
      <c r="C12" s="14">
        <v>64.73</v>
      </c>
      <c r="D12" s="14">
        <v>65.44</v>
      </c>
      <c r="E12" s="14">
        <v>66.11</v>
      </c>
      <c r="F12" s="14">
        <v>66.569999999999993</v>
      </c>
      <c r="G12" s="14">
        <v>66.959999999999994</v>
      </c>
      <c r="H12" s="14">
        <v>68.959999999999994</v>
      </c>
      <c r="I12" s="14">
        <v>69.33</v>
      </c>
      <c r="J12" s="14">
        <v>70.17</v>
      </c>
      <c r="K12" s="14">
        <v>70.8</v>
      </c>
      <c r="L12" s="14">
        <v>71.48</v>
      </c>
      <c r="M12" s="14">
        <v>72.2</v>
      </c>
      <c r="N12" s="25">
        <f t="shared" si="0"/>
        <v>11</v>
      </c>
    </row>
    <row r="13" spans="1:14">
      <c r="A13" s="25" t="s">
        <v>92</v>
      </c>
      <c r="B13" s="12" t="s">
        <v>93</v>
      </c>
      <c r="C13" s="14">
        <v>65.819999999999993</v>
      </c>
      <c r="D13" s="14">
        <v>66.709999999999994</v>
      </c>
      <c r="E13" s="14">
        <v>67.63</v>
      </c>
      <c r="F13" s="14">
        <v>68.28</v>
      </c>
      <c r="G13" s="14">
        <v>68.88</v>
      </c>
      <c r="H13" s="14">
        <v>70.84</v>
      </c>
      <c r="I13" s="14">
        <v>70.95</v>
      </c>
      <c r="J13" s="14">
        <v>71.52</v>
      </c>
      <c r="K13" s="14">
        <v>72.33</v>
      </c>
      <c r="L13" s="14">
        <v>73.099999999999994</v>
      </c>
      <c r="M13" s="14">
        <v>73.77</v>
      </c>
      <c r="N13" s="25">
        <f t="shared" si="0"/>
        <v>11</v>
      </c>
    </row>
    <row r="14" spans="1:14">
      <c r="A14" s="25" t="s">
        <v>94</v>
      </c>
      <c r="B14" s="12" t="s">
        <v>95</v>
      </c>
      <c r="C14" s="14">
        <v>65.25</v>
      </c>
      <c r="D14" s="14">
        <v>65.75</v>
      </c>
      <c r="E14" s="14">
        <v>66.38</v>
      </c>
      <c r="F14" s="14">
        <v>66.989999999999995</v>
      </c>
      <c r="G14" s="14">
        <v>67.62</v>
      </c>
      <c r="H14" s="14">
        <v>70.48</v>
      </c>
      <c r="I14" s="14">
        <v>70.62</v>
      </c>
      <c r="J14" s="14">
        <v>71.45</v>
      </c>
      <c r="K14" s="14">
        <v>72.150000000000006</v>
      </c>
      <c r="L14" s="14">
        <v>72.83</v>
      </c>
      <c r="M14" s="14">
        <v>73.75</v>
      </c>
      <c r="N14" s="25">
        <f t="shared" si="0"/>
        <v>11</v>
      </c>
    </row>
    <row r="15" spans="1:14">
      <c r="A15" s="25" t="s">
        <v>96</v>
      </c>
      <c r="B15" s="12" t="s">
        <v>97</v>
      </c>
      <c r="C15" s="14">
        <v>64.11</v>
      </c>
      <c r="D15" s="14">
        <v>64.75</v>
      </c>
      <c r="E15" s="14">
        <v>65.31</v>
      </c>
      <c r="F15" s="14">
        <v>66.180000000000007</v>
      </c>
      <c r="G15" s="14">
        <v>66.92</v>
      </c>
      <c r="H15" s="14">
        <v>69.05</v>
      </c>
      <c r="I15" s="14">
        <v>69.260000000000005</v>
      </c>
      <c r="J15" s="14">
        <v>70.040000000000006</v>
      </c>
      <c r="K15" s="14">
        <v>70.52</v>
      </c>
      <c r="L15" s="14">
        <v>71.209999999999994</v>
      </c>
      <c r="M15" s="14">
        <v>71.92</v>
      </c>
      <c r="N15" s="25">
        <f t="shared" si="0"/>
        <v>11</v>
      </c>
    </row>
    <row r="16" spans="1:14">
      <c r="A16" s="25" t="s">
        <v>98</v>
      </c>
      <c r="B16" s="12" t="s">
        <v>99</v>
      </c>
      <c r="C16" s="14">
        <v>65.760000000000005</v>
      </c>
      <c r="D16" s="14">
        <v>66.45</v>
      </c>
      <c r="E16" s="14">
        <v>66.959999999999994</v>
      </c>
      <c r="F16" s="14">
        <v>67.569999999999993</v>
      </c>
      <c r="G16" s="14">
        <v>67.83</v>
      </c>
      <c r="H16" s="14">
        <v>69.83</v>
      </c>
      <c r="I16" s="14">
        <v>70.25</v>
      </c>
      <c r="J16" s="14">
        <v>70.73</v>
      </c>
      <c r="K16" s="14">
        <v>71.3</v>
      </c>
      <c r="L16" s="14">
        <v>72.27</v>
      </c>
      <c r="M16" s="14">
        <v>73.17</v>
      </c>
      <c r="N16" s="25">
        <f t="shared" si="0"/>
        <v>11</v>
      </c>
    </row>
    <row r="17" spans="1:14">
      <c r="A17" s="25" t="s">
        <v>100</v>
      </c>
      <c r="B17" s="12" t="s">
        <v>101</v>
      </c>
      <c r="C17" s="14">
        <v>64.150000000000006</v>
      </c>
      <c r="D17" s="14">
        <v>65.010000000000005</v>
      </c>
      <c r="E17" s="14">
        <v>65.849999999999994</v>
      </c>
      <c r="F17" s="14">
        <v>66.400000000000006</v>
      </c>
      <c r="G17" s="14">
        <v>66.900000000000006</v>
      </c>
      <c r="H17" s="14">
        <v>68.760000000000005</v>
      </c>
      <c r="I17" s="14">
        <v>69.150000000000006</v>
      </c>
      <c r="J17" s="14">
        <v>69.95</v>
      </c>
      <c r="K17" s="14">
        <v>70.67</v>
      </c>
      <c r="L17" s="14">
        <v>71.55</v>
      </c>
      <c r="M17" s="14">
        <v>72.42</v>
      </c>
      <c r="N17" s="25">
        <f t="shared" si="0"/>
        <v>11</v>
      </c>
    </row>
    <row r="18" spans="1:14">
      <c r="A18" s="25" t="s">
        <v>102</v>
      </c>
      <c r="B18" s="12" t="s">
        <v>103</v>
      </c>
      <c r="C18" s="14">
        <v>62.57</v>
      </c>
      <c r="D18" s="14">
        <v>63.42</v>
      </c>
      <c r="E18" s="14">
        <v>63.96</v>
      </c>
      <c r="F18" s="14">
        <v>64.84</v>
      </c>
      <c r="G18" s="14">
        <v>65.430000000000007</v>
      </c>
      <c r="H18" s="14">
        <v>67.81</v>
      </c>
      <c r="I18" s="14">
        <v>67.849999999999994</v>
      </c>
      <c r="J18" s="14">
        <v>68.33</v>
      </c>
      <c r="K18" s="14">
        <v>69.05</v>
      </c>
      <c r="L18" s="14">
        <v>70</v>
      </c>
      <c r="M18" s="14">
        <v>70.98</v>
      </c>
      <c r="N18" s="25">
        <f t="shared" si="0"/>
        <v>11</v>
      </c>
    </row>
    <row r="19" spans="1:14">
      <c r="A19" s="25" t="s">
        <v>104</v>
      </c>
      <c r="B19" s="12" t="s">
        <v>105</v>
      </c>
      <c r="C19" s="14">
        <v>67.17</v>
      </c>
      <c r="D19" s="14">
        <v>67.38</v>
      </c>
      <c r="E19" s="14">
        <v>67.84</v>
      </c>
      <c r="F19" s="14">
        <v>68.58</v>
      </c>
      <c r="G19" s="14">
        <v>69.34</v>
      </c>
      <c r="H19" s="14">
        <v>71.37</v>
      </c>
      <c r="I19" s="14">
        <v>71.680000000000007</v>
      </c>
      <c r="J19" s="14">
        <v>72.33</v>
      </c>
      <c r="K19" s="14">
        <v>73.05</v>
      </c>
      <c r="L19" s="14">
        <v>73.64</v>
      </c>
      <c r="M19" s="14">
        <v>74.42</v>
      </c>
      <c r="N19" s="25">
        <f t="shared" si="0"/>
        <v>11</v>
      </c>
    </row>
    <row r="20" spans="1:14">
      <c r="A20" s="25" t="s">
        <v>106</v>
      </c>
      <c r="B20" s="12" t="s">
        <v>107</v>
      </c>
      <c r="C20" s="14">
        <v>65.349999999999994</v>
      </c>
      <c r="D20" s="14">
        <v>65.45</v>
      </c>
      <c r="E20" s="14">
        <v>65.63</v>
      </c>
      <c r="F20" s="14">
        <v>66.430000000000007</v>
      </c>
      <c r="G20" s="14">
        <v>67.22</v>
      </c>
      <c r="H20" s="14">
        <v>70.290000000000006</v>
      </c>
      <c r="I20" s="14">
        <v>70.400000000000006</v>
      </c>
      <c r="J20" s="14">
        <v>71.2</v>
      </c>
      <c r="K20" s="14">
        <v>72.010000000000005</v>
      </c>
      <c r="L20" s="14">
        <v>72.67</v>
      </c>
      <c r="M20" s="14">
        <v>73.209999999999994</v>
      </c>
      <c r="N20" s="25">
        <f t="shared" si="0"/>
        <v>11</v>
      </c>
    </row>
    <row r="21" spans="1:14">
      <c r="A21" s="25" t="s">
        <v>108</v>
      </c>
      <c r="B21" s="12" t="s">
        <v>109</v>
      </c>
      <c r="C21" s="14">
        <v>63.55</v>
      </c>
      <c r="D21" s="14">
        <v>64</v>
      </c>
      <c r="E21" s="14">
        <v>64.209999999999994</v>
      </c>
      <c r="F21" s="14">
        <v>64.81</v>
      </c>
      <c r="G21" s="14">
        <v>65.099999999999994</v>
      </c>
      <c r="H21" s="14">
        <v>67.64</v>
      </c>
      <c r="I21" s="14">
        <v>67.77</v>
      </c>
      <c r="J21" s="14">
        <v>68.39</v>
      </c>
      <c r="K21" s="14">
        <v>69.069999999999993</v>
      </c>
      <c r="L21" s="14">
        <v>69.63</v>
      </c>
      <c r="M21" s="14">
        <v>70.56</v>
      </c>
      <c r="N21" s="25">
        <f t="shared" si="0"/>
        <v>11</v>
      </c>
    </row>
    <row r="22" spans="1:14">
      <c r="A22" s="25" t="s">
        <v>110</v>
      </c>
      <c r="B22" s="12" t="s">
        <v>111</v>
      </c>
      <c r="C22" s="14">
        <v>60.83</v>
      </c>
      <c r="D22" s="14">
        <v>61.66</v>
      </c>
      <c r="E22" s="14">
        <v>62.58</v>
      </c>
      <c r="F22" s="14">
        <v>63.49</v>
      </c>
      <c r="G22" s="14">
        <v>64.33</v>
      </c>
      <c r="H22" s="14">
        <v>66.84</v>
      </c>
      <c r="I22" s="14">
        <v>67.03</v>
      </c>
      <c r="J22" s="14">
        <v>67.89</v>
      </c>
      <c r="K22" s="14">
        <v>68.78</v>
      </c>
      <c r="L22" s="14">
        <v>69.63</v>
      </c>
      <c r="M22" s="14">
        <v>70.55</v>
      </c>
      <c r="N22" s="25">
        <f t="shared" si="0"/>
        <v>11</v>
      </c>
    </row>
    <row r="23" spans="1:14">
      <c r="A23" s="25" t="s">
        <v>112</v>
      </c>
      <c r="B23" s="12" t="s">
        <v>113</v>
      </c>
      <c r="C23" s="14">
        <v>62.32</v>
      </c>
      <c r="D23" s="14">
        <v>63.05</v>
      </c>
      <c r="E23" s="14">
        <v>63.18</v>
      </c>
      <c r="F23" s="14">
        <v>63.75</v>
      </c>
      <c r="G23" s="14">
        <v>64.319999999999993</v>
      </c>
      <c r="H23" s="14">
        <v>67.48</v>
      </c>
      <c r="I23" s="14">
        <v>67.94</v>
      </c>
      <c r="J23" s="14">
        <v>68.760000000000005</v>
      </c>
      <c r="K23" s="14">
        <v>69.63</v>
      </c>
      <c r="L23" s="14">
        <v>70.45</v>
      </c>
      <c r="M23" s="14">
        <v>71.39</v>
      </c>
      <c r="N23" s="25">
        <f t="shared" si="0"/>
        <v>11</v>
      </c>
    </row>
    <row r="24" spans="1:14">
      <c r="A24" s="25" t="s">
        <v>114</v>
      </c>
      <c r="B24" s="12" t="s">
        <v>115</v>
      </c>
      <c r="C24" s="14">
        <v>76.290000000000006</v>
      </c>
      <c r="D24" s="14">
        <v>76.59</v>
      </c>
      <c r="E24" s="14">
        <v>77.22</v>
      </c>
      <c r="F24" s="14">
        <v>77.89</v>
      </c>
      <c r="G24" s="14">
        <v>78.44</v>
      </c>
      <c r="H24" s="14">
        <v>80.08</v>
      </c>
      <c r="I24" s="14">
        <v>80.459999999999994</v>
      </c>
      <c r="J24" s="14">
        <v>81.19</v>
      </c>
      <c r="K24" s="14">
        <v>81.72</v>
      </c>
      <c r="L24" s="14">
        <v>82.29</v>
      </c>
      <c r="M24" s="14">
        <v>83.27</v>
      </c>
      <c r="N24" s="25">
        <f t="shared" si="0"/>
        <v>11</v>
      </c>
    </row>
    <row r="25" spans="1:14">
      <c r="A25" s="25" t="s">
        <v>116</v>
      </c>
      <c r="B25" s="12" t="s">
        <v>117</v>
      </c>
      <c r="C25" s="14">
        <v>73.19</v>
      </c>
      <c r="D25" s="14">
        <v>73.38</v>
      </c>
      <c r="E25" s="14">
        <v>73.58</v>
      </c>
      <c r="F25" s="14">
        <v>74.040000000000006</v>
      </c>
      <c r="G25" s="14">
        <v>74.400000000000006</v>
      </c>
      <c r="H25" s="14">
        <v>76.19</v>
      </c>
      <c r="I25" s="14">
        <v>76.3</v>
      </c>
      <c r="J25" s="14">
        <v>77.14</v>
      </c>
      <c r="K25" s="14">
        <v>78.069999999999993</v>
      </c>
      <c r="L25" s="14">
        <v>78.680000000000007</v>
      </c>
      <c r="M25" s="14">
        <v>79.17</v>
      </c>
      <c r="N25" s="25">
        <f t="shared" si="0"/>
        <v>11</v>
      </c>
    </row>
    <row r="26" spans="1:14">
      <c r="A26" s="25" t="s">
        <v>118</v>
      </c>
      <c r="B26" s="12" t="s">
        <v>119</v>
      </c>
      <c r="C26" s="14">
        <v>65.37</v>
      </c>
      <c r="D26" s="14">
        <v>65.959999999999994</v>
      </c>
      <c r="E26" s="14">
        <v>66.81</v>
      </c>
      <c r="F26" s="14">
        <v>67.62</v>
      </c>
      <c r="G26" s="14">
        <v>68.44</v>
      </c>
      <c r="H26" s="14">
        <v>71.099999999999994</v>
      </c>
      <c r="I26" s="14">
        <v>71.47</v>
      </c>
      <c r="J26" s="14">
        <v>72.400000000000006</v>
      </c>
      <c r="K26" s="14">
        <v>73.25</v>
      </c>
      <c r="L26" s="14">
        <v>74</v>
      </c>
      <c r="M26" s="14">
        <v>74.92</v>
      </c>
      <c r="N26" s="25">
        <f t="shared" si="0"/>
        <v>11</v>
      </c>
    </row>
    <row r="27" spans="1:14">
      <c r="A27" s="25" t="s">
        <v>120</v>
      </c>
      <c r="B27" s="12" t="s">
        <v>121</v>
      </c>
      <c r="C27" s="14">
        <v>73.17</v>
      </c>
      <c r="D27" s="14">
        <v>73.569999999999993</v>
      </c>
      <c r="E27" s="14">
        <v>73.67</v>
      </c>
      <c r="F27" s="14">
        <v>74.09</v>
      </c>
      <c r="G27" s="14">
        <v>74.81</v>
      </c>
      <c r="H27" s="14">
        <v>76.989999999999995</v>
      </c>
      <c r="I27" s="14">
        <v>77.09</v>
      </c>
      <c r="J27" s="14">
        <v>77.709999999999994</v>
      </c>
      <c r="K27" s="14">
        <v>78.36</v>
      </c>
      <c r="L27" s="14">
        <v>78.98</v>
      </c>
      <c r="M27" s="14">
        <v>79.94</v>
      </c>
      <c r="N27" s="25">
        <f t="shared" si="0"/>
        <v>11</v>
      </c>
    </row>
  </sheetData>
  <mergeCells count="12">
    <mergeCell ref="A5:B5"/>
    <mergeCell ref="C5:N5"/>
    <mergeCell ref="A6:B6"/>
    <mergeCell ref="C6:N6"/>
    <mergeCell ref="A7:B7"/>
    <mergeCell ref="C7:N7"/>
    <mergeCell ref="A2:B2"/>
    <mergeCell ref="C2:N2"/>
    <mergeCell ref="A3:B3"/>
    <mergeCell ref="C3:N3"/>
    <mergeCell ref="A4:B4"/>
    <mergeCell ref="C4:N4"/>
  </mergeCells>
  <dataValidations count="1">
    <dataValidation type="decimal" allowBlank="1" showErrorMessage="1" errorTitle="Numbers only" error="Enter a number only. Leave the cell blank if the data is not available (do not type 0, a dash, or n/a)." sqref="C10:M27" xr:uid="{00000000-0002-0000-0600-000000000000}">
      <formula1>-100000000</formula1>
      <formula2>100000000</formula2>
    </dataValidation>
  </dataValidations>
  <hyperlinks>
    <hyperlink ref="C5" r:id="rId1" display="https://sumsel.bps.go.id/id/statistics-table/3/V25GaFNHaExaMnhITm1sWmRrUlJZelJzYUc1SGR6MDkjMw==/indeks-pembangunan-manusia-menurut-kabupaten-kota-di-provinsi-sumatera-selatan--2021.html?year=2016" xr:uid="{CED9D0B7-A3CA-4377-8A03-95BA423E0894}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78"/>
  </sheetPr>
  <dimension ref="A1:N27"/>
  <sheetViews>
    <sheetView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8" sqref="C8"/>
    </sheetView>
  </sheetViews>
  <sheetFormatPr defaultColWidth="8.7109375" defaultRowHeight="15"/>
  <cols>
    <col min="1" max="1" width="10" customWidth="1"/>
    <col min="2" max="2" width="44" customWidth="1"/>
    <col min="3" max="13" width="9.5703125" customWidth="1"/>
    <col min="14" max="14" width="12" customWidth="1"/>
  </cols>
  <sheetData>
    <row r="1" spans="1:14" ht="18">
      <c r="A1" s="15" t="s">
        <v>134</v>
      </c>
    </row>
    <row r="2" spans="1:14" ht="19.5" customHeight="1">
      <c r="A2" s="4" t="s">
        <v>68</v>
      </c>
      <c r="B2" s="4"/>
      <c r="C2" s="3" t="s">
        <v>135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43.5" customHeight="1">
      <c r="A3" s="4" t="s">
        <v>70</v>
      </c>
      <c r="B3" s="4"/>
      <c r="C3" s="2" t="s">
        <v>136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9.5" customHeight="1">
      <c r="A4" s="4" t="s">
        <v>72</v>
      </c>
      <c r="B4" s="4"/>
      <c r="C4" s="50" t="s">
        <v>192</v>
      </c>
      <c r="D4" s="51"/>
      <c r="E4" s="51"/>
      <c r="F4" s="51"/>
      <c r="G4" s="51"/>
      <c r="H4" s="51"/>
      <c r="I4" s="51"/>
      <c r="J4" s="51"/>
      <c r="K4" s="51"/>
      <c r="L4" s="51"/>
      <c r="M4" s="51"/>
      <c r="N4" s="52"/>
    </row>
    <row r="5" spans="1:14" ht="19.5" customHeight="1">
      <c r="A5" s="4" t="s">
        <v>73</v>
      </c>
      <c r="B5" s="4"/>
      <c r="C5" s="32" t="s">
        <v>193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ht="19.5" customHeight="1">
      <c r="A6" s="4" t="s">
        <v>74</v>
      </c>
      <c r="B6" s="4"/>
      <c r="C6" s="1">
        <v>2026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30" customHeight="1">
      <c r="A7" s="4" t="s">
        <v>75</v>
      </c>
      <c r="B7" s="4"/>
      <c r="C7" s="31" t="s">
        <v>194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9" spans="1:14" ht="24" customHeight="1">
      <c r="A9" s="13" t="s">
        <v>17</v>
      </c>
      <c r="B9" s="13" t="s">
        <v>18</v>
      </c>
      <c r="C9" s="13" t="s">
        <v>76</v>
      </c>
      <c r="D9" s="13" t="s">
        <v>77</v>
      </c>
      <c r="E9" s="13" t="s">
        <v>78</v>
      </c>
      <c r="F9" s="13" t="s">
        <v>79</v>
      </c>
      <c r="G9" s="13" t="s">
        <v>80</v>
      </c>
      <c r="H9" s="13" t="s">
        <v>81</v>
      </c>
      <c r="I9" s="13" t="s">
        <v>82</v>
      </c>
      <c r="J9" s="13" t="s">
        <v>83</v>
      </c>
      <c r="K9" s="13" t="s">
        <v>19</v>
      </c>
      <c r="L9" s="13" t="s">
        <v>20</v>
      </c>
      <c r="M9" s="13" t="s">
        <v>84</v>
      </c>
      <c r="N9" s="13" t="s">
        <v>85</v>
      </c>
    </row>
    <row r="10" spans="1:14">
      <c r="A10" s="25" t="s">
        <v>86</v>
      </c>
      <c r="B10" s="26" t="s">
        <v>87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25">
        <f t="shared" ref="N10:N27" si="0">COUNT(C10:M10)</f>
        <v>0</v>
      </c>
    </row>
    <row r="11" spans="1:14">
      <c r="A11" s="25" t="s">
        <v>88</v>
      </c>
      <c r="B11" s="12" t="s">
        <v>89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25">
        <f t="shared" si="0"/>
        <v>0</v>
      </c>
    </row>
    <row r="12" spans="1:14">
      <c r="A12" s="25" t="s">
        <v>90</v>
      </c>
      <c r="B12" s="12" t="s">
        <v>91</v>
      </c>
      <c r="C12" s="14"/>
      <c r="D12" s="14"/>
      <c r="E12" s="14"/>
      <c r="F12" s="14"/>
      <c r="G12" s="14"/>
      <c r="H12" s="14"/>
      <c r="I12" s="14"/>
      <c r="J12" s="14"/>
      <c r="K12" s="14"/>
      <c r="L12" s="14">
        <v>0.7</v>
      </c>
      <c r="M12" s="14">
        <v>0.67</v>
      </c>
      <c r="N12" s="25">
        <f t="shared" si="0"/>
        <v>2</v>
      </c>
    </row>
    <row r="13" spans="1:14">
      <c r="A13" s="25" t="s">
        <v>92</v>
      </c>
      <c r="B13" s="12" t="s">
        <v>93</v>
      </c>
      <c r="C13" s="14"/>
      <c r="D13" s="14"/>
      <c r="E13" s="14"/>
      <c r="F13" s="14"/>
      <c r="G13" s="14"/>
      <c r="H13" s="14"/>
      <c r="I13" s="14"/>
      <c r="J13" s="14"/>
      <c r="K13" s="14"/>
      <c r="L13" s="14">
        <v>0.6</v>
      </c>
      <c r="M13" s="14">
        <v>0.85</v>
      </c>
      <c r="N13" s="25">
        <f t="shared" si="0"/>
        <v>2</v>
      </c>
    </row>
    <row r="14" spans="1:14">
      <c r="A14" s="25" t="s">
        <v>94</v>
      </c>
      <c r="B14" s="12" t="s">
        <v>95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25">
        <f t="shared" si="0"/>
        <v>0</v>
      </c>
    </row>
    <row r="15" spans="1:14">
      <c r="A15" s="25" t="s">
        <v>96</v>
      </c>
      <c r="B15" s="12" t="s">
        <v>97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25">
        <f t="shared" si="0"/>
        <v>0</v>
      </c>
    </row>
    <row r="16" spans="1:14">
      <c r="A16" s="25" t="s">
        <v>98</v>
      </c>
      <c r="B16" s="12" t="s">
        <v>99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25">
        <f t="shared" si="0"/>
        <v>0</v>
      </c>
    </row>
    <row r="17" spans="1:14">
      <c r="A17" s="25" t="s">
        <v>100</v>
      </c>
      <c r="B17" s="12" t="s">
        <v>101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25">
        <f t="shared" si="0"/>
        <v>0</v>
      </c>
    </row>
    <row r="18" spans="1:14">
      <c r="A18" s="25" t="s">
        <v>102</v>
      </c>
      <c r="B18" s="12" t="s">
        <v>103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25">
        <f t="shared" si="0"/>
        <v>0</v>
      </c>
    </row>
    <row r="19" spans="1:14">
      <c r="A19" s="25" t="s">
        <v>104</v>
      </c>
      <c r="B19" s="12" t="s">
        <v>105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25">
        <f t="shared" si="0"/>
        <v>0</v>
      </c>
    </row>
    <row r="20" spans="1:14">
      <c r="A20" s="25" t="s">
        <v>106</v>
      </c>
      <c r="B20" s="12" t="s">
        <v>107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5">
        <f t="shared" si="0"/>
        <v>0</v>
      </c>
    </row>
    <row r="21" spans="1:14">
      <c r="A21" s="25" t="s">
        <v>108</v>
      </c>
      <c r="B21" s="12" t="s">
        <v>109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25">
        <f t="shared" si="0"/>
        <v>0</v>
      </c>
    </row>
    <row r="22" spans="1:14">
      <c r="A22" s="25" t="s">
        <v>110</v>
      </c>
      <c r="B22" s="12" t="s">
        <v>111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25">
        <f t="shared" si="0"/>
        <v>0</v>
      </c>
    </row>
    <row r="23" spans="1:14">
      <c r="A23" s="25" t="s">
        <v>112</v>
      </c>
      <c r="B23" s="12" t="s">
        <v>113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25">
        <f t="shared" si="0"/>
        <v>0</v>
      </c>
    </row>
    <row r="24" spans="1:14">
      <c r="A24" s="25" t="s">
        <v>114</v>
      </c>
      <c r="B24" s="12" t="s">
        <v>115</v>
      </c>
      <c r="C24" s="14"/>
      <c r="D24" s="14"/>
      <c r="E24" s="14"/>
      <c r="F24" s="14"/>
      <c r="G24" s="14"/>
      <c r="H24" s="14"/>
      <c r="I24" s="14"/>
      <c r="J24" s="14"/>
      <c r="K24" s="14"/>
      <c r="L24" s="14">
        <v>0.42</v>
      </c>
      <c r="M24" s="14">
        <v>0.39</v>
      </c>
      <c r="N24" s="25">
        <f t="shared" si="0"/>
        <v>2</v>
      </c>
    </row>
    <row r="25" spans="1:14">
      <c r="A25" s="25" t="s">
        <v>116</v>
      </c>
      <c r="B25" s="12" t="s">
        <v>117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25">
        <f t="shared" si="0"/>
        <v>0</v>
      </c>
    </row>
    <row r="26" spans="1:14">
      <c r="A26" s="25" t="s">
        <v>118</v>
      </c>
      <c r="B26" s="12" t="s">
        <v>119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25">
        <f t="shared" si="0"/>
        <v>0</v>
      </c>
    </row>
    <row r="27" spans="1:14">
      <c r="A27" s="25" t="s">
        <v>120</v>
      </c>
      <c r="B27" s="12" t="s">
        <v>121</v>
      </c>
      <c r="C27" s="14"/>
      <c r="D27" s="14"/>
      <c r="E27" s="14"/>
      <c r="F27" s="14"/>
      <c r="G27" s="14"/>
      <c r="H27" s="14"/>
      <c r="I27" s="14"/>
      <c r="J27" s="14"/>
      <c r="K27" s="14"/>
      <c r="L27" s="14">
        <v>0.57999999999999996</v>
      </c>
      <c r="M27" s="14">
        <v>0.37</v>
      </c>
      <c r="N27" s="25">
        <f t="shared" si="0"/>
        <v>2</v>
      </c>
    </row>
  </sheetData>
  <mergeCells count="12">
    <mergeCell ref="A5:B5"/>
    <mergeCell ref="C5:N5"/>
    <mergeCell ref="A6:B6"/>
    <mergeCell ref="C6:N6"/>
    <mergeCell ref="A7:B7"/>
    <mergeCell ref="C7:N7"/>
    <mergeCell ref="A2:B2"/>
    <mergeCell ref="C2:N2"/>
    <mergeCell ref="A3:B3"/>
    <mergeCell ref="C3:N3"/>
    <mergeCell ref="A4:B4"/>
    <mergeCell ref="C4:N4"/>
  </mergeCells>
  <dataValidations count="1">
    <dataValidation type="decimal" allowBlank="1" showErrorMessage="1" errorTitle="Numbers only" error="Enter a number only. Leave the cell blank if the data is not available (do not type 0, a dash, or n/a)." sqref="C10:M27" xr:uid="{00000000-0002-0000-0700-000000000000}">
      <formula1>-100000000</formula1>
      <formula2>100000000</formula2>
    </dataValidation>
  </dataValidations>
  <hyperlinks>
    <hyperlink ref="C5" r:id="rId1" display="https://sumsel.bps.go.id/id/statistics-table/2/OTc4IzI=/inflasi-di-provinsi-sumatera-selatan--month-to-month---2022-100-.html" xr:uid="{8B3942C9-DDFD-4E08-9C26-840488C1EA8E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8080"/>
  </sheetPr>
  <dimension ref="A1:N27"/>
  <sheetViews>
    <sheetView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8" sqref="C8"/>
    </sheetView>
  </sheetViews>
  <sheetFormatPr defaultColWidth="8.7109375" defaultRowHeight="15"/>
  <cols>
    <col min="1" max="1" width="10" customWidth="1"/>
    <col min="2" max="2" width="44" customWidth="1"/>
    <col min="3" max="13" width="9.5703125" customWidth="1"/>
    <col min="14" max="14" width="12" customWidth="1"/>
  </cols>
  <sheetData>
    <row r="1" spans="1:14" ht="18">
      <c r="A1" s="15" t="s">
        <v>137</v>
      </c>
    </row>
    <row r="2" spans="1:14" ht="19.5" customHeight="1">
      <c r="A2" s="4" t="s">
        <v>68</v>
      </c>
      <c r="B2" s="4"/>
      <c r="C2" s="3" t="s">
        <v>138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30" customHeight="1">
      <c r="A3" s="4" t="s">
        <v>70</v>
      </c>
      <c r="B3" s="4"/>
      <c r="C3" s="2" t="s">
        <v>139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9.5" customHeight="1">
      <c r="A4" s="4" t="s">
        <v>72</v>
      </c>
      <c r="B4" s="4"/>
      <c r="C4" s="53" t="s">
        <v>195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5"/>
    </row>
    <row r="5" spans="1:14" ht="19.5" customHeight="1">
      <c r="A5" s="4" t="s">
        <v>73</v>
      </c>
      <c r="B5" s="4"/>
      <c r="C5" s="38" t="s">
        <v>196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40"/>
    </row>
    <row r="6" spans="1:14" ht="19.5" customHeight="1">
      <c r="A6" s="4" t="s">
        <v>74</v>
      </c>
      <c r="B6" s="4"/>
      <c r="C6" s="1">
        <v>2026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30" customHeight="1">
      <c r="A7" s="4" t="s">
        <v>75</v>
      </c>
      <c r="B7" s="4"/>
      <c r="C7" s="31" t="s">
        <v>197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9" spans="1:14" ht="24" customHeight="1">
      <c r="A9" s="13" t="s">
        <v>17</v>
      </c>
      <c r="B9" s="13" t="s">
        <v>18</v>
      </c>
      <c r="C9" s="13" t="s">
        <v>76</v>
      </c>
      <c r="D9" s="13" t="s">
        <v>77</v>
      </c>
      <c r="E9" s="13" t="s">
        <v>78</v>
      </c>
      <c r="F9" s="13" t="s">
        <v>79</v>
      </c>
      <c r="G9" s="13" t="s">
        <v>80</v>
      </c>
      <c r="H9" s="13" t="s">
        <v>81</v>
      </c>
      <c r="I9" s="13" t="s">
        <v>82</v>
      </c>
      <c r="J9" s="13" t="s">
        <v>83</v>
      </c>
      <c r="K9" s="13" t="s">
        <v>19</v>
      </c>
      <c r="L9" s="13" t="s">
        <v>20</v>
      </c>
      <c r="M9" s="13" t="s">
        <v>84</v>
      </c>
      <c r="N9" s="13" t="s">
        <v>85</v>
      </c>
    </row>
    <row r="10" spans="1:14">
      <c r="A10" s="25" t="s">
        <v>86</v>
      </c>
      <c r="B10" s="26" t="s">
        <v>87</v>
      </c>
      <c r="C10" s="28"/>
      <c r="D10" s="28"/>
      <c r="E10" s="28">
        <v>1086.92</v>
      </c>
      <c r="F10" s="28">
        <v>1068.27</v>
      </c>
      <c r="G10" s="28">
        <v>1073.74</v>
      </c>
      <c r="H10" s="28">
        <v>1081.5899999999999</v>
      </c>
      <c r="I10" s="28">
        <v>1113.76</v>
      </c>
      <c r="J10" s="28">
        <v>1044.69</v>
      </c>
      <c r="K10" s="28">
        <v>1045.68</v>
      </c>
      <c r="L10" s="28">
        <v>984.24</v>
      </c>
      <c r="M10" s="28">
        <v>919.6</v>
      </c>
      <c r="N10" s="25">
        <f t="shared" ref="N10:N27" si="0">COUNT(C10:M10)</f>
        <v>9</v>
      </c>
    </row>
    <row r="11" spans="1:14">
      <c r="A11" s="25" t="s">
        <v>88</v>
      </c>
      <c r="B11" s="12" t="s">
        <v>89</v>
      </c>
      <c r="C11" s="28"/>
      <c r="D11" s="28"/>
      <c r="E11" s="28">
        <v>46.34</v>
      </c>
      <c r="F11" s="28">
        <v>45.71</v>
      </c>
      <c r="G11" s="28">
        <v>46.84</v>
      </c>
      <c r="H11" s="28">
        <v>47.3</v>
      </c>
      <c r="I11" s="28">
        <v>47.5</v>
      </c>
      <c r="J11" s="28">
        <v>44.2</v>
      </c>
      <c r="K11" s="28">
        <v>44.11</v>
      </c>
      <c r="L11" s="28">
        <v>41.54</v>
      </c>
      <c r="M11" s="28">
        <v>39.58</v>
      </c>
      <c r="N11" s="25">
        <f t="shared" si="0"/>
        <v>9</v>
      </c>
    </row>
    <row r="12" spans="1:14">
      <c r="A12" s="25" t="s">
        <v>90</v>
      </c>
      <c r="B12" s="12" t="s">
        <v>91</v>
      </c>
      <c r="C12" s="28"/>
      <c r="D12" s="28"/>
      <c r="E12" s="28">
        <v>127.06</v>
      </c>
      <c r="F12" s="28">
        <v>124.86</v>
      </c>
      <c r="G12" s="28">
        <v>124.14</v>
      </c>
      <c r="H12" s="28">
        <v>123.34</v>
      </c>
      <c r="I12" s="28">
        <v>124.78</v>
      </c>
      <c r="J12" s="28">
        <v>113.79</v>
      </c>
      <c r="K12" s="28">
        <v>114.48</v>
      </c>
      <c r="L12" s="28">
        <v>106.37</v>
      </c>
      <c r="M12" s="28">
        <v>105.26</v>
      </c>
      <c r="N12" s="25">
        <f t="shared" si="0"/>
        <v>9</v>
      </c>
    </row>
    <row r="13" spans="1:14">
      <c r="A13" s="25" t="s">
        <v>92</v>
      </c>
      <c r="B13" s="12" t="s">
        <v>93</v>
      </c>
      <c r="C13" s="28"/>
      <c r="D13" s="28"/>
      <c r="E13" s="28">
        <v>81.3</v>
      </c>
      <c r="F13" s="28">
        <v>78.58</v>
      </c>
      <c r="G13" s="28">
        <v>78.75</v>
      </c>
      <c r="H13" s="28">
        <v>79.27</v>
      </c>
      <c r="I13" s="28">
        <v>80.400000000000006</v>
      </c>
      <c r="J13" s="28">
        <v>73.53</v>
      </c>
      <c r="K13" s="28">
        <v>73.239999999999995</v>
      </c>
      <c r="L13" s="28">
        <v>66.42</v>
      </c>
      <c r="M13" s="28">
        <v>64.819999999999993</v>
      </c>
      <c r="N13" s="25">
        <f t="shared" si="0"/>
        <v>9</v>
      </c>
    </row>
    <row r="14" spans="1:14">
      <c r="A14" s="25" t="s">
        <v>94</v>
      </c>
      <c r="B14" s="12" t="s">
        <v>95</v>
      </c>
      <c r="C14" s="28"/>
      <c r="D14" s="28"/>
      <c r="E14" s="28">
        <v>67.33</v>
      </c>
      <c r="F14" s="28">
        <v>65.31</v>
      </c>
      <c r="G14" s="28">
        <v>65.03</v>
      </c>
      <c r="H14" s="28">
        <v>65.75</v>
      </c>
      <c r="I14" s="28">
        <v>68.400000000000006</v>
      </c>
      <c r="J14" s="28">
        <v>65.39</v>
      </c>
      <c r="K14" s="28">
        <v>63.36</v>
      </c>
      <c r="L14" s="28">
        <v>60.19</v>
      </c>
      <c r="M14" s="28">
        <v>58.66</v>
      </c>
      <c r="N14" s="25">
        <f t="shared" si="0"/>
        <v>9</v>
      </c>
    </row>
    <row r="15" spans="1:14">
      <c r="A15" s="25" t="s">
        <v>96</v>
      </c>
      <c r="B15" s="12" t="s">
        <v>97</v>
      </c>
      <c r="C15" s="28"/>
      <c r="D15" s="28"/>
      <c r="E15" s="28">
        <v>55.96</v>
      </c>
      <c r="F15" s="28">
        <v>54.75</v>
      </c>
      <c r="G15" s="28">
        <v>53.82</v>
      </c>
      <c r="H15" s="28">
        <v>54.95</v>
      </c>
      <c r="I15" s="28">
        <v>57.46</v>
      </c>
      <c r="J15" s="28">
        <v>55.8</v>
      </c>
      <c r="K15" s="28">
        <v>59.75</v>
      </c>
      <c r="L15" s="28">
        <v>57.44</v>
      </c>
      <c r="M15" s="28">
        <v>54.7</v>
      </c>
      <c r="N15" s="25">
        <f t="shared" si="0"/>
        <v>9</v>
      </c>
    </row>
    <row r="16" spans="1:14">
      <c r="A16" s="25" t="s">
        <v>98</v>
      </c>
      <c r="B16" s="12" t="s">
        <v>99</v>
      </c>
      <c r="C16" s="28"/>
      <c r="D16" s="28"/>
      <c r="E16" s="28">
        <v>105.08</v>
      </c>
      <c r="F16" s="28">
        <v>105.15</v>
      </c>
      <c r="G16" s="28">
        <v>105.83</v>
      </c>
      <c r="H16" s="28">
        <v>105.38</v>
      </c>
      <c r="I16" s="28">
        <v>105.23</v>
      </c>
      <c r="J16" s="28">
        <v>102.24</v>
      </c>
      <c r="K16" s="28">
        <v>101.63</v>
      </c>
      <c r="L16" s="28">
        <v>88.94</v>
      </c>
      <c r="M16" s="28">
        <v>69.61</v>
      </c>
      <c r="N16" s="25">
        <f t="shared" si="0"/>
        <v>9</v>
      </c>
    </row>
    <row r="17" spans="1:14">
      <c r="A17" s="25" t="s">
        <v>100</v>
      </c>
      <c r="B17" s="12" t="s">
        <v>101</v>
      </c>
      <c r="C17" s="28"/>
      <c r="D17" s="28"/>
      <c r="E17" s="28">
        <v>95.28</v>
      </c>
      <c r="F17" s="28">
        <v>95.29</v>
      </c>
      <c r="G17" s="28">
        <v>96.55</v>
      </c>
      <c r="H17" s="28">
        <v>96.27</v>
      </c>
      <c r="I17" s="28">
        <v>94.08</v>
      </c>
      <c r="J17" s="28">
        <v>88.55</v>
      </c>
      <c r="K17" s="28">
        <v>85.88</v>
      </c>
      <c r="L17" s="28">
        <v>84.36</v>
      </c>
      <c r="M17" s="28">
        <v>77.63</v>
      </c>
      <c r="N17" s="25">
        <f t="shared" si="0"/>
        <v>9</v>
      </c>
    </row>
    <row r="18" spans="1:14">
      <c r="A18" s="25" t="s">
        <v>102</v>
      </c>
      <c r="B18" s="12" t="s">
        <v>103</v>
      </c>
      <c r="C18" s="28"/>
      <c r="D18" s="28"/>
      <c r="E18" s="28">
        <v>38.630000000000003</v>
      </c>
      <c r="F18" s="28">
        <v>37.869999999999997</v>
      </c>
      <c r="G18" s="28">
        <v>37.92</v>
      </c>
      <c r="H18" s="28">
        <v>39.5</v>
      </c>
      <c r="I18" s="28">
        <v>41.23</v>
      </c>
      <c r="J18" s="28">
        <v>39.61</v>
      </c>
      <c r="K18" s="28">
        <v>39.299999999999997</v>
      </c>
      <c r="L18" s="28">
        <v>37.81</v>
      </c>
      <c r="M18" s="28">
        <v>35.49</v>
      </c>
      <c r="N18" s="25">
        <f t="shared" si="0"/>
        <v>9</v>
      </c>
    </row>
    <row r="19" spans="1:14">
      <c r="A19" s="25" t="s">
        <v>104</v>
      </c>
      <c r="B19" s="12" t="s">
        <v>105</v>
      </c>
      <c r="C19" s="28"/>
      <c r="D19" s="28"/>
      <c r="E19" s="28">
        <v>72.81</v>
      </c>
      <c r="F19" s="28">
        <v>70.650000000000006</v>
      </c>
      <c r="G19" s="28">
        <v>70.400000000000006</v>
      </c>
      <c r="H19" s="28">
        <v>71.099999999999994</v>
      </c>
      <c r="I19" s="28">
        <v>72.89</v>
      </c>
      <c r="J19" s="28">
        <v>69.69</v>
      </c>
      <c r="K19" s="28">
        <v>69.91</v>
      </c>
      <c r="L19" s="28">
        <v>68.739999999999995</v>
      </c>
      <c r="M19" s="28">
        <v>62.89</v>
      </c>
      <c r="N19" s="25">
        <f t="shared" si="0"/>
        <v>9</v>
      </c>
    </row>
    <row r="20" spans="1:14">
      <c r="A20" s="25" t="s">
        <v>106</v>
      </c>
      <c r="B20" s="12" t="s">
        <v>107</v>
      </c>
      <c r="C20" s="28"/>
      <c r="D20" s="28"/>
      <c r="E20" s="28">
        <v>56.85</v>
      </c>
      <c r="F20" s="28">
        <v>55.87</v>
      </c>
      <c r="G20" s="28">
        <v>57.06</v>
      </c>
      <c r="H20" s="28">
        <v>57.97</v>
      </c>
      <c r="I20" s="28">
        <v>60.5</v>
      </c>
      <c r="J20" s="28">
        <v>54.55</v>
      </c>
      <c r="K20" s="28">
        <v>59.33</v>
      </c>
      <c r="L20" s="28">
        <v>55.49</v>
      </c>
      <c r="M20" s="28">
        <v>53.21</v>
      </c>
      <c r="N20" s="25">
        <f t="shared" si="0"/>
        <v>9</v>
      </c>
    </row>
    <row r="21" spans="1:14">
      <c r="A21" s="25" t="s">
        <v>108</v>
      </c>
      <c r="B21" s="12" t="s">
        <v>109</v>
      </c>
      <c r="C21" s="28"/>
      <c r="D21" s="28"/>
      <c r="E21" s="28">
        <v>30.29</v>
      </c>
      <c r="F21" s="28">
        <v>30.2</v>
      </c>
      <c r="G21" s="28">
        <v>30.68</v>
      </c>
      <c r="H21" s="28">
        <v>31.89</v>
      </c>
      <c r="I21" s="28">
        <v>34.11</v>
      </c>
      <c r="J21" s="28">
        <v>31.06</v>
      </c>
      <c r="K21" s="28">
        <v>30.78</v>
      </c>
      <c r="L21" s="28">
        <v>28.42</v>
      </c>
      <c r="M21" s="28">
        <v>27.88</v>
      </c>
      <c r="N21" s="25">
        <f t="shared" si="0"/>
        <v>9</v>
      </c>
    </row>
    <row r="22" spans="1:14">
      <c r="A22" s="25" t="s">
        <v>110</v>
      </c>
      <c r="B22" s="12" t="s">
        <v>111</v>
      </c>
      <c r="C22" s="28"/>
      <c r="D22" s="28"/>
      <c r="E22" s="28">
        <v>26.75</v>
      </c>
      <c r="F22" s="28">
        <v>25.78</v>
      </c>
      <c r="G22" s="28">
        <v>25.47</v>
      </c>
      <c r="H22" s="28">
        <v>24.17</v>
      </c>
      <c r="I22" s="28">
        <v>25.1</v>
      </c>
      <c r="J22" s="28">
        <v>23.14</v>
      </c>
      <c r="K22" s="28">
        <v>21.72</v>
      </c>
      <c r="L22" s="28">
        <v>19.79</v>
      </c>
      <c r="M22" s="28">
        <v>18.87</v>
      </c>
      <c r="N22" s="25">
        <f t="shared" si="0"/>
        <v>9</v>
      </c>
    </row>
    <row r="23" spans="1:14">
      <c r="A23" s="25" t="s">
        <v>112</v>
      </c>
      <c r="B23" s="12" t="s">
        <v>113</v>
      </c>
      <c r="C23" s="28"/>
      <c r="D23" s="28"/>
      <c r="E23" s="28">
        <v>36.46</v>
      </c>
      <c r="F23" s="28">
        <v>36.19</v>
      </c>
      <c r="G23" s="28">
        <v>36.630000000000003</v>
      </c>
      <c r="H23" s="28">
        <v>37.75</v>
      </c>
      <c r="I23" s="28">
        <v>39.5</v>
      </c>
      <c r="J23" s="28">
        <v>36.65</v>
      </c>
      <c r="K23" s="28">
        <v>36.67</v>
      </c>
      <c r="L23" s="28">
        <v>35.29</v>
      </c>
      <c r="M23" s="28">
        <v>31.25</v>
      </c>
      <c r="N23" s="25">
        <f t="shared" si="0"/>
        <v>9</v>
      </c>
    </row>
    <row r="24" spans="1:14">
      <c r="A24" s="25" t="s">
        <v>114</v>
      </c>
      <c r="B24" s="12" t="s">
        <v>115</v>
      </c>
      <c r="C24" s="28"/>
      <c r="D24" s="28"/>
      <c r="E24" s="28">
        <v>184.41</v>
      </c>
      <c r="F24" s="28">
        <v>179.32</v>
      </c>
      <c r="G24" s="28">
        <v>180.67</v>
      </c>
      <c r="H24" s="28">
        <v>182.61</v>
      </c>
      <c r="I24" s="28">
        <v>194.12</v>
      </c>
      <c r="J24" s="28">
        <v>181.65</v>
      </c>
      <c r="K24" s="28">
        <v>179.45</v>
      </c>
      <c r="L24" s="28">
        <v>173.59</v>
      </c>
      <c r="M24" s="28">
        <v>162.31</v>
      </c>
      <c r="N24" s="25">
        <f t="shared" si="0"/>
        <v>9</v>
      </c>
    </row>
    <row r="25" spans="1:14">
      <c r="A25" s="25" t="s">
        <v>116</v>
      </c>
      <c r="B25" s="12" t="s">
        <v>117</v>
      </c>
      <c r="C25" s="28"/>
      <c r="D25" s="28"/>
      <c r="E25" s="28">
        <v>20.72</v>
      </c>
      <c r="F25" s="28">
        <v>20.95</v>
      </c>
      <c r="G25" s="28">
        <v>21.62</v>
      </c>
      <c r="H25" s="28">
        <v>21.83</v>
      </c>
      <c r="I25" s="28">
        <v>23.6</v>
      </c>
      <c r="J25" s="28">
        <v>22.12</v>
      </c>
      <c r="K25" s="28">
        <v>22.33</v>
      </c>
      <c r="L25" s="28">
        <v>20.41</v>
      </c>
      <c r="M25" s="28">
        <v>19.89</v>
      </c>
      <c r="N25" s="25">
        <f t="shared" si="0"/>
        <v>9</v>
      </c>
    </row>
    <row r="26" spans="1:14">
      <c r="A26" s="25" t="s">
        <v>118</v>
      </c>
      <c r="B26" s="12" t="s">
        <v>119</v>
      </c>
      <c r="C26" s="28"/>
      <c r="D26" s="28"/>
      <c r="E26" s="28">
        <v>12.12</v>
      </c>
      <c r="F26" s="28">
        <v>12.07</v>
      </c>
      <c r="G26" s="28">
        <v>12.37</v>
      </c>
      <c r="H26" s="28">
        <v>12.71</v>
      </c>
      <c r="I26" s="28">
        <v>13.27</v>
      </c>
      <c r="J26" s="28">
        <v>12.05</v>
      </c>
      <c r="K26" s="28">
        <v>12.73</v>
      </c>
      <c r="L26" s="28">
        <v>11.82</v>
      </c>
      <c r="M26" s="28">
        <v>11.2</v>
      </c>
      <c r="N26" s="25">
        <f t="shared" si="0"/>
        <v>9</v>
      </c>
    </row>
    <row r="27" spans="1:14">
      <c r="A27" s="25" t="s">
        <v>120</v>
      </c>
      <c r="B27" s="12" t="s">
        <v>121</v>
      </c>
      <c r="C27" s="28"/>
      <c r="D27" s="28"/>
      <c r="E27" s="28">
        <v>29.54</v>
      </c>
      <c r="F27" s="28">
        <v>29.74</v>
      </c>
      <c r="G27" s="28">
        <v>29.98</v>
      </c>
      <c r="H27" s="28">
        <v>29.8</v>
      </c>
      <c r="I27" s="28">
        <v>31.61</v>
      </c>
      <c r="J27" s="28">
        <v>30.68</v>
      </c>
      <c r="K27" s="28">
        <v>31.02</v>
      </c>
      <c r="L27" s="28">
        <v>27.65</v>
      </c>
      <c r="M27" s="28">
        <v>26.35</v>
      </c>
      <c r="N27" s="25">
        <f t="shared" si="0"/>
        <v>9</v>
      </c>
    </row>
  </sheetData>
  <mergeCells count="12">
    <mergeCell ref="A5:B5"/>
    <mergeCell ref="C5:N5"/>
    <mergeCell ref="A6:B6"/>
    <mergeCell ref="C6:N6"/>
    <mergeCell ref="A7:B7"/>
    <mergeCell ref="C7:N7"/>
    <mergeCell ref="A2:B2"/>
    <mergeCell ref="C2:N2"/>
    <mergeCell ref="A3:B3"/>
    <mergeCell ref="C3:N3"/>
    <mergeCell ref="A4:B4"/>
    <mergeCell ref="C4:N4"/>
  </mergeCells>
  <dataValidations count="1">
    <dataValidation type="decimal" allowBlank="1" showErrorMessage="1" errorTitle="Numbers only" error="Enter a number only. Leave the cell blank if the data is not available (do not type 0, a dash, or n/a)." sqref="C10:M27" xr:uid="{00000000-0002-0000-0800-000000000000}">
      <formula1>-100000000</formula1>
      <formula2>100000000</formula2>
    </dataValidation>
  </dataValidations>
  <hyperlinks>
    <hyperlink ref="C5" r:id="rId1" display="https://sumsel.bps.go.id/id/statistics-table/3/UkVkWGJVZFNWakl6VWxKVFQwWjVWeTlSZDNabVFUMDkjMw==/jumlah-dan-persentase-penduduk-miskin-menurut-kabupaten-kota-di-provinsi-sumatera-selatan--2017.html?year=2017" xr:uid="{C7F3797B-FD32-4599-93F5-643274A3DD68}"/>
  </hyperlink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8080"/>
  </sheetPr>
  <dimension ref="A1:N27"/>
  <sheetViews>
    <sheetView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O13" sqref="O13"/>
    </sheetView>
  </sheetViews>
  <sheetFormatPr defaultColWidth="8.7109375" defaultRowHeight="15"/>
  <cols>
    <col min="1" max="1" width="10" customWidth="1"/>
    <col min="2" max="2" width="44" customWidth="1"/>
    <col min="3" max="13" width="9.5703125" customWidth="1"/>
    <col min="14" max="14" width="12" customWidth="1"/>
  </cols>
  <sheetData>
    <row r="1" spans="1:14" ht="18">
      <c r="A1" s="15" t="s">
        <v>140</v>
      </c>
    </row>
    <row r="2" spans="1:14" ht="19.5" customHeight="1">
      <c r="A2" s="4" t="s">
        <v>68</v>
      </c>
      <c r="B2" s="4"/>
      <c r="C2" s="3" t="s">
        <v>141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30" customHeight="1">
      <c r="A3" s="4" t="s">
        <v>70</v>
      </c>
      <c r="B3" s="4"/>
      <c r="C3" s="2" t="s">
        <v>142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9.5" customHeight="1">
      <c r="A4" s="4" t="s">
        <v>72</v>
      </c>
      <c r="B4" s="4"/>
      <c r="C4" s="44" t="s">
        <v>198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6"/>
    </row>
    <row r="5" spans="1:14" ht="19.5" customHeight="1">
      <c r="A5" s="4" t="s">
        <v>73</v>
      </c>
      <c r="B5" s="4"/>
      <c r="C5" s="32" t="s">
        <v>199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ht="19.5" customHeight="1">
      <c r="A6" s="4" t="s">
        <v>74</v>
      </c>
      <c r="B6" s="4"/>
      <c r="C6" s="1">
        <v>2025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30" customHeight="1">
      <c r="A7" s="4" t="s">
        <v>75</v>
      </c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9" spans="1:14" ht="24" customHeight="1">
      <c r="A9" s="13" t="s">
        <v>17</v>
      </c>
      <c r="B9" s="13" t="s">
        <v>18</v>
      </c>
      <c r="C9" s="13" t="s">
        <v>76</v>
      </c>
      <c r="D9" s="13" t="s">
        <v>77</v>
      </c>
      <c r="E9" s="13" t="s">
        <v>78</v>
      </c>
      <c r="F9" s="13" t="s">
        <v>79</v>
      </c>
      <c r="G9" s="13" t="s">
        <v>80</v>
      </c>
      <c r="H9" s="13" t="s">
        <v>81</v>
      </c>
      <c r="I9" s="13" t="s">
        <v>82</v>
      </c>
      <c r="J9" s="13" t="s">
        <v>83</v>
      </c>
      <c r="K9" s="13" t="s">
        <v>19</v>
      </c>
      <c r="L9" s="13" t="s">
        <v>20</v>
      </c>
      <c r="M9" s="13" t="s">
        <v>84</v>
      </c>
      <c r="N9" s="13" t="s">
        <v>85</v>
      </c>
    </row>
    <row r="10" spans="1:14">
      <c r="A10" s="25" t="s">
        <v>86</v>
      </c>
      <c r="B10" s="26" t="s">
        <v>87</v>
      </c>
      <c r="C10" s="29">
        <v>0.36</v>
      </c>
      <c r="D10" s="29">
        <v>0.34799999999999998</v>
      </c>
      <c r="E10" s="29">
        <v>0.36099999999999999</v>
      </c>
      <c r="F10" s="29">
        <v>0.35799999999999998</v>
      </c>
      <c r="G10" s="29">
        <v>0.33100000000000002</v>
      </c>
      <c r="H10" s="29">
        <v>0.33900000000000002</v>
      </c>
      <c r="I10" s="29">
        <v>0.34100000000000003</v>
      </c>
      <c r="J10" s="29">
        <v>0.33900000000000002</v>
      </c>
      <c r="K10" s="29">
        <v>0.33800000000000002</v>
      </c>
      <c r="L10" s="29">
        <v>0.33300000000000002</v>
      </c>
      <c r="M10" s="29">
        <v>0.311</v>
      </c>
      <c r="N10" s="25">
        <f t="shared" ref="N10:N27" si="0">COUNT(C10:M10)</f>
        <v>11</v>
      </c>
    </row>
    <row r="11" spans="1:14">
      <c r="A11" s="25" t="s">
        <v>88</v>
      </c>
      <c r="B11" s="12" t="s">
        <v>89</v>
      </c>
      <c r="C11" s="29">
        <v>0.35599999999999998</v>
      </c>
      <c r="D11" s="29">
        <v>0.34699999999999998</v>
      </c>
      <c r="E11" s="29">
        <v>0.32900000000000001</v>
      </c>
      <c r="F11" s="29">
        <v>0.308</v>
      </c>
      <c r="G11" s="29">
        <v>0.32</v>
      </c>
      <c r="H11" s="29">
        <v>0.33</v>
      </c>
      <c r="I11" s="29">
        <v>0.34699999999999998</v>
      </c>
      <c r="J11" s="29">
        <v>0.34699999999999998</v>
      </c>
      <c r="K11" s="29">
        <v>0.32100000000000001</v>
      </c>
      <c r="L11" s="29">
        <v>0.33400000000000002</v>
      </c>
      <c r="M11" s="29">
        <v>0.29399999999999998</v>
      </c>
      <c r="N11" s="25">
        <f t="shared" si="0"/>
        <v>11</v>
      </c>
    </row>
    <row r="12" spans="1:14">
      <c r="A12" s="25" t="s">
        <v>90</v>
      </c>
      <c r="B12" s="12" t="s">
        <v>91</v>
      </c>
      <c r="C12" s="29">
        <v>0.33100000000000002</v>
      </c>
      <c r="D12" s="29">
        <v>0.309</v>
      </c>
      <c r="E12" s="29">
        <v>0.33700000000000002</v>
      </c>
      <c r="F12" s="29">
        <v>0.33</v>
      </c>
      <c r="G12" s="29">
        <v>0.28000000000000003</v>
      </c>
      <c r="H12" s="29">
        <v>0.30199999999999999</v>
      </c>
      <c r="I12" s="29">
        <v>0.29899999999999999</v>
      </c>
      <c r="J12" s="29">
        <v>0.29299999999999998</v>
      </c>
      <c r="K12" s="29">
        <v>0.32200000000000001</v>
      </c>
      <c r="L12" s="29">
        <v>0.30599999999999999</v>
      </c>
      <c r="M12" s="29">
        <v>0.255</v>
      </c>
      <c r="N12" s="25">
        <f t="shared" si="0"/>
        <v>11</v>
      </c>
    </row>
    <row r="13" spans="1:14">
      <c r="A13" s="25" t="s">
        <v>92</v>
      </c>
      <c r="B13" s="12" t="s">
        <v>93</v>
      </c>
      <c r="C13" s="29">
        <v>0.33400000000000002</v>
      </c>
      <c r="D13" s="29">
        <v>0.33300000000000002</v>
      </c>
      <c r="E13" s="29">
        <v>0.376</v>
      </c>
      <c r="F13" s="29">
        <v>0.35399999999999998</v>
      </c>
      <c r="G13" s="29">
        <v>0.32300000000000001</v>
      </c>
      <c r="H13" s="29">
        <v>0.32700000000000001</v>
      </c>
      <c r="I13" s="29">
        <v>0.33700000000000002</v>
      </c>
      <c r="J13" s="29">
        <v>0.32</v>
      </c>
      <c r="K13" s="29">
        <v>0.313</v>
      </c>
      <c r="L13" s="29">
        <v>0.309</v>
      </c>
      <c r="M13" s="29">
        <v>0.25800000000000001</v>
      </c>
      <c r="N13" s="25">
        <f t="shared" si="0"/>
        <v>11</v>
      </c>
    </row>
    <row r="14" spans="1:14">
      <c r="A14" s="25" t="s">
        <v>94</v>
      </c>
      <c r="B14" s="12" t="s">
        <v>95</v>
      </c>
      <c r="C14" s="29">
        <v>0.33900000000000002</v>
      </c>
      <c r="D14" s="29">
        <v>0.34</v>
      </c>
      <c r="E14" s="29">
        <v>0.35599999999999998</v>
      </c>
      <c r="F14" s="29">
        <v>0.30599999999999999</v>
      </c>
      <c r="G14" s="29">
        <v>0.33400000000000002</v>
      </c>
      <c r="H14" s="29">
        <v>0.32700000000000001</v>
      </c>
      <c r="I14" s="29">
        <v>0.29799999999999999</v>
      </c>
      <c r="J14" s="29">
        <v>0.33500000000000002</v>
      </c>
      <c r="K14" s="29">
        <v>0.32500000000000001</v>
      </c>
      <c r="L14" s="29">
        <v>0.311</v>
      </c>
      <c r="M14" s="29">
        <v>0.23499999999999999</v>
      </c>
      <c r="N14" s="25">
        <f t="shared" si="0"/>
        <v>11</v>
      </c>
    </row>
    <row r="15" spans="1:14">
      <c r="A15" s="25" t="s">
        <v>96</v>
      </c>
      <c r="B15" s="12" t="s">
        <v>97</v>
      </c>
      <c r="C15" s="29">
        <v>0.28699999999999998</v>
      </c>
      <c r="D15" s="29">
        <v>0.24</v>
      </c>
      <c r="E15" s="29">
        <v>0.28000000000000003</v>
      </c>
      <c r="F15" s="29">
        <v>0.27300000000000002</v>
      </c>
      <c r="G15" s="29">
        <v>0.23899999999999999</v>
      </c>
      <c r="H15" s="29">
        <v>0.26200000000000001</v>
      </c>
      <c r="I15" s="29">
        <v>0.27700000000000002</v>
      </c>
      <c r="J15" s="29">
        <v>0.32800000000000001</v>
      </c>
      <c r="K15" s="29">
        <v>0.28399999999999997</v>
      </c>
      <c r="L15" s="29">
        <v>0.28499999999999998</v>
      </c>
      <c r="M15" s="29">
        <v>0.20899999999999999</v>
      </c>
      <c r="N15" s="25">
        <f t="shared" si="0"/>
        <v>11</v>
      </c>
    </row>
    <row r="16" spans="1:14">
      <c r="A16" s="25" t="s">
        <v>98</v>
      </c>
      <c r="B16" s="12" t="s">
        <v>99</v>
      </c>
      <c r="C16" s="29">
        <v>0.28699999999999998</v>
      </c>
      <c r="D16" s="29">
        <v>0.26100000000000001</v>
      </c>
      <c r="E16" s="29">
        <v>0.26600000000000001</v>
      </c>
      <c r="F16" s="29">
        <v>0.32600000000000001</v>
      </c>
      <c r="G16" s="29">
        <v>0.309</v>
      </c>
      <c r="H16" s="29">
        <v>0.32100000000000001</v>
      </c>
      <c r="I16" s="29">
        <v>0.32600000000000001</v>
      </c>
      <c r="J16" s="29">
        <v>0.33900000000000002</v>
      </c>
      <c r="K16" s="29">
        <v>0.31</v>
      </c>
      <c r="L16" s="29">
        <v>0.314</v>
      </c>
      <c r="M16" s="29">
        <v>0.20799999999999999</v>
      </c>
      <c r="N16" s="25">
        <f t="shared" si="0"/>
        <v>11</v>
      </c>
    </row>
    <row r="17" spans="1:14">
      <c r="A17" s="25" t="s">
        <v>100</v>
      </c>
      <c r="B17" s="12" t="s">
        <v>101</v>
      </c>
      <c r="C17" s="29">
        <v>0.32400000000000001</v>
      </c>
      <c r="D17" s="29">
        <v>0.30399999999999999</v>
      </c>
      <c r="E17" s="29">
        <v>0.316</v>
      </c>
      <c r="F17" s="29">
        <v>0.34399999999999997</v>
      </c>
      <c r="G17" s="29">
        <v>0.32900000000000001</v>
      </c>
      <c r="H17" s="29">
        <v>0.32300000000000001</v>
      </c>
      <c r="I17" s="29">
        <v>0.32</v>
      </c>
      <c r="J17" s="29">
        <v>0.28299999999999997</v>
      </c>
      <c r="K17" s="29">
        <v>0.26500000000000001</v>
      </c>
      <c r="L17" s="29">
        <v>0.26700000000000002</v>
      </c>
      <c r="M17" s="29">
        <v>0.22900000000000001</v>
      </c>
      <c r="N17" s="25">
        <f t="shared" si="0"/>
        <v>11</v>
      </c>
    </row>
    <row r="18" spans="1:14">
      <c r="A18" s="25" t="s">
        <v>102</v>
      </c>
      <c r="B18" s="12" t="s">
        <v>103</v>
      </c>
      <c r="C18" s="29">
        <v>0.30499999999999999</v>
      </c>
      <c r="D18" s="29">
        <v>0.31900000000000001</v>
      </c>
      <c r="E18" s="29">
        <v>0.39500000000000002</v>
      </c>
      <c r="F18" s="29">
        <v>0.317</v>
      </c>
      <c r="G18" s="29">
        <v>0.32300000000000001</v>
      </c>
      <c r="H18" s="29">
        <v>0.27100000000000002</v>
      </c>
      <c r="I18" s="29">
        <v>0.29099999999999998</v>
      </c>
      <c r="J18" s="29">
        <v>0.28499999999999998</v>
      </c>
      <c r="K18" s="29">
        <v>0.308</v>
      </c>
      <c r="L18" s="29">
        <v>0.35599999999999998</v>
      </c>
      <c r="M18" s="29">
        <v>0.29099999999999998</v>
      </c>
      <c r="N18" s="25">
        <f t="shared" si="0"/>
        <v>11</v>
      </c>
    </row>
    <row r="19" spans="1:14">
      <c r="A19" s="25" t="s">
        <v>104</v>
      </c>
      <c r="B19" s="12" t="s">
        <v>105</v>
      </c>
      <c r="C19" s="29">
        <v>0.31900000000000001</v>
      </c>
      <c r="D19" s="29">
        <v>0.29899999999999999</v>
      </c>
      <c r="E19" s="29">
        <v>0.28499999999999998</v>
      </c>
      <c r="F19" s="29">
        <v>0.33600000000000002</v>
      </c>
      <c r="G19" s="29">
        <v>0.27600000000000002</v>
      </c>
      <c r="H19" s="29">
        <v>0.28899999999999998</v>
      </c>
      <c r="I19" s="29">
        <v>0.29899999999999999</v>
      </c>
      <c r="J19" s="29">
        <v>0.32700000000000001</v>
      </c>
      <c r="K19" s="29">
        <v>0.29599999999999999</v>
      </c>
      <c r="L19" s="29">
        <v>0.29799999999999999</v>
      </c>
      <c r="M19" s="29">
        <v>0.248</v>
      </c>
      <c r="N19" s="25">
        <f t="shared" si="0"/>
        <v>11</v>
      </c>
    </row>
    <row r="20" spans="1:14">
      <c r="A20" s="25" t="s">
        <v>106</v>
      </c>
      <c r="B20" s="12" t="s">
        <v>107</v>
      </c>
      <c r="C20" s="29">
        <v>0.36899999999999999</v>
      </c>
      <c r="D20" s="29">
        <v>0.34699999999999998</v>
      </c>
      <c r="E20" s="29">
        <v>0.34499999999999997</v>
      </c>
      <c r="F20" s="29">
        <v>0.317</v>
      </c>
      <c r="G20" s="29">
        <v>0.34699999999999998</v>
      </c>
      <c r="H20" s="29">
        <v>0.316</v>
      </c>
      <c r="I20" s="29">
        <v>0.28000000000000003</v>
      </c>
      <c r="J20" s="29">
        <v>0.28499999999999998</v>
      </c>
      <c r="K20" s="29">
        <v>0.29199999999999998</v>
      </c>
      <c r="L20" s="29">
        <v>0.30399999999999999</v>
      </c>
      <c r="M20" s="29">
        <v>0.219</v>
      </c>
      <c r="N20" s="25">
        <f t="shared" si="0"/>
        <v>11</v>
      </c>
    </row>
    <row r="21" spans="1:14">
      <c r="A21" s="25" t="s">
        <v>108</v>
      </c>
      <c r="B21" s="12" t="s">
        <v>109</v>
      </c>
      <c r="C21" s="29">
        <v>0.309</v>
      </c>
      <c r="D21" s="29">
        <v>0.31</v>
      </c>
      <c r="E21" s="29">
        <v>0.317</v>
      </c>
      <c r="F21" s="29">
        <v>0.33100000000000002</v>
      </c>
      <c r="G21" s="29">
        <v>0.318</v>
      </c>
      <c r="H21" s="29">
        <v>0.38</v>
      </c>
      <c r="I21" s="29">
        <v>0.35699999999999998</v>
      </c>
      <c r="J21" s="29">
        <v>0.33300000000000002</v>
      </c>
      <c r="K21" s="29">
        <v>0.35699999999999998</v>
      </c>
      <c r="L21" s="29">
        <v>0.39600000000000002</v>
      </c>
      <c r="M21" s="29">
        <v>0.28399999999999997</v>
      </c>
      <c r="N21" s="25">
        <f t="shared" si="0"/>
        <v>11</v>
      </c>
    </row>
    <row r="22" spans="1:14">
      <c r="A22" s="25" t="s">
        <v>110</v>
      </c>
      <c r="B22" s="12" t="s">
        <v>111</v>
      </c>
      <c r="C22" s="29">
        <v>0.316</v>
      </c>
      <c r="D22" s="29">
        <v>0.28799999999999998</v>
      </c>
      <c r="E22" s="29">
        <v>0.35199999999999998</v>
      </c>
      <c r="F22" s="29">
        <v>0.29799999999999999</v>
      </c>
      <c r="G22" s="29">
        <v>0.32100000000000001</v>
      </c>
      <c r="H22" s="29">
        <v>0.33200000000000002</v>
      </c>
      <c r="I22" s="29">
        <v>0.33100000000000002</v>
      </c>
      <c r="J22" s="29">
        <v>0.318</v>
      </c>
      <c r="K22" s="29">
        <v>0.316</v>
      </c>
      <c r="L22" s="29">
        <v>0.29299999999999998</v>
      </c>
      <c r="M22" s="29">
        <v>0.24299999999999999</v>
      </c>
      <c r="N22" s="25">
        <f t="shared" si="0"/>
        <v>11</v>
      </c>
    </row>
    <row r="23" spans="1:14">
      <c r="A23" s="25" t="s">
        <v>112</v>
      </c>
      <c r="B23" s="12" t="s">
        <v>113</v>
      </c>
      <c r="C23" s="29">
        <v>0.248</v>
      </c>
      <c r="D23" s="29">
        <v>0.25800000000000001</v>
      </c>
      <c r="E23" s="29">
        <v>0.27600000000000002</v>
      </c>
      <c r="F23" s="29">
        <v>0.27600000000000002</v>
      </c>
      <c r="G23" s="29">
        <v>0.26700000000000002</v>
      </c>
      <c r="H23" s="29">
        <v>0.28699999999999998</v>
      </c>
      <c r="I23" s="29">
        <v>0.28000000000000003</v>
      </c>
      <c r="J23" s="29">
        <v>0.28699999999999998</v>
      </c>
      <c r="K23" s="29">
        <v>0.29599999999999999</v>
      </c>
      <c r="L23" s="29">
        <v>0.254</v>
      </c>
      <c r="M23" s="29">
        <v>0.20699999999999999</v>
      </c>
      <c r="N23" s="25">
        <f t="shared" si="0"/>
        <v>11</v>
      </c>
    </row>
    <row r="24" spans="1:14">
      <c r="A24" s="25" t="s">
        <v>114</v>
      </c>
      <c r="B24" s="12" t="s">
        <v>115</v>
      </c>
      <c r="C24" s="29">
        <v>0.39900000000000002</v>
      </c>
      <c r="D24" s="29">
        <v>0.374</v>
      </c>
      <c r="E24" s="29">
        <v>0.373</v>
      </c>
      <c r="F24" s="29">
        <v>0.38300000000000001</v>
      </c>
      <c r="G24" s="29">
        <v>0.34499999999999997</v>
      </c>
      <c r="H24" s="29">
        <v>0.34699999999999998</v>
      </c>
      <c r="I24" s="29">
        <v>0.35299999999999998</v>
      </c>
      <c r="J24" s="29">
        <v>0.34699999999999998</v>
      </c>
      <c r="K24" s="29">
        <v>0.36199999999999999</v>
      </c>
      <c r="L24" s="29">
        <v>0.35399999999999998</v>
      </c>
      <c r="M24" s="29">
        <v>0.38900000000000001</v>
      </c>
      <c r="N24" s="25">
        <f t="shared" si="0"/>
        <v>11</v>
      </c>
    </row>
    <row r="25" spans="1:14">
      <c r="A25" s="25" t="s">
        <v>116</v>
      </c>
      <c r="B25" s="12" t="s">
        <v>117</v>
      </c>
      <c r="C25" s="29">
        <v>0.38</v>
      </c>
      <c r="D25" s="29">
        <v>0.35699999999999998</v>
      </c>
      <c r="E25" s="29">
        <v>0.39900000000000002</v>
      </c>
      <c r="F25" s="29">
        <v>0.41399999999999998</v>
      </c>
      <c r="G25" s="29">
        <v>0.34399999999999997</v>
      </c>
      <c r="H25" s="29">
        <v>0.372</v>
      </c>
      <c r="I25" s="29">
        <v>0.38200000000000001</v>
      </c>
      <c r="J25" s="29">
        <v>0.37</v>
      </c>
      <c r="K25" s="29">
        <v>0.373</v>
      </c>
      <c r="L25" s="29">
        <v>0.35299999999999998</v>
      </c>
      <c r="M25" s="29">
        <v>0.34300000000000003</v>
      </c>
      <c r="N25" s="25">
        <f t="shared" si="0"/>
        <v>11</v>
      </c>
    </row>
    <row r="26" spans="1:14">
      <c r="A26" s="25" t="s">
        <v>118</v>
      </c>
      <c r="B26" s="12" t="s">
        <v>119</v>
      </c>
      <c r="C26" s="29">
        <v>0.31900000000000001</v>
      </c>
      <c r="D26" s="29">
        <v>0.36</v>
      </c>
      <c r="E26" s="29">
        <v>0.36599999999999999</v>
      </c>
      <c r="F26" s="29">
        <v>0.30099999999999999</v>
      </c>
      <c r="G26" s="29">
        <v>0.32900000000000001</v>
      </c>
      <c r="H26" s="29">
        <v>0.34300000000000003</v>
      </c>
      <c r="I26" s="29">
        <v>0.32800000000000001</v>
      </c>
      <c r="J26" s="29">
        <v>0.29299999999999998</v>
      </c>
      <c r="K26" s="29">
        <v>0.313</v>
      </c>
      <c r="L26" s="29">
        <v>0.28299999999999997</v>
      </c>
      <c r="M26" s="29">
        <v>0.27800000000000002</v>
      </c>
      <c r="N26" s="25">
        <f t="shared" si="0"/>
        <v>11</v>
      </c>
    </row>
    <row r="27" spans="1:14">
      <c r="A27" s="25" t="s">
        <v>120</v>
      </c>
      <c r="B27" s="12" t="s">
        <v>121</v>
      </c>
      <c r="C27" s="29">
        <v>0.32600000000000001</v>
      </c>
      <c r="D27" s="29">
        <v>0.35199999999999998</v>
      </c>
      <c r="E27" s="29">
        <v>0.378</v>
      </c>
      <c r="F27" s="29">
        <v>0.32400000000000001</v>
      </c>
      <c r="G27" s="29">
        <v>0.32100000000000001</v>
      </c>
      <c r="H27" s="29">
        <v>0.34</v>
      </c>
      <c r="I27" s="29">
        <v>0.36099999999999999</v>
      </c>
      <c r="J27" s="29">
        <v>0.36599999999999999</v>
      </c>
      <c r="K27" s="29">
        <v>0.37</v>
      </c>
      <c r="L27" s="29">
        <v>0.35299999999999998</v>
      </c>
      <c r="M27" s="29">
        <v>0.36899999999999999</v>
      </c>
      <c r="N27" s="25">
        <f t="shared" si="0"/>
        <v>11</v>
      </c>
    </row>
  </sheetData>
  <mergeCells count="12">
    <mergeCell ref="A5:B5"/>
    <mergeCell ref="C5:N5"/>
    <mergeCell ref="A6:B6"/>
    <mergeCell ref="C6:N6"/>
    <mergeCell ref="A7:B7"/>
    <mergeCell ref="C7:N7"/>
    <mergeCell ref="A2:B2"/>
    <mergeCell ref="C2:N2"/>
    <mergeCell ref="A3:B3"/>
    <mergeCell ref="C3:N3"/>
    <mergeCell ref="A4:B4"/>
    <mergeCell ref="C4:N4"/>
  </mergeCells>
  <dataValidations count="1">
    <dataValidation type="decimal" allowBlank="1" showErrorMessage="1" errorTitle="Numbers only" error="Enter a number only. Leave the cell blank if the data is not available (do not type 0, a dash, or n/a)." sqref="C10:M27" xr:uid="{00000000-0002-0000-0900-000000000000}">
      <formula1>-100000000</formula1>
      <formula2>100000000</formula2>
    </dataValidation>
  </dataValidations>
  <hyperlinks>
    <hyperlink ref="C5" r:id="rId1" display="https://sumsel.bps.go.id/id/statistics-table/2/NjIzIzI=/rasio-gini-menurut-kabupaten-kota.html" xr:uid="{B27852F8-88F8-4829-B8EA-3A554597FF82}"/>
  </hyperlink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N26"/>
  <sheetViews>
    <sheetView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P1" sqref="P1"/>
    </sheetView>
  </sheetViews>
  <sheetFormatPr defaultColWidth="8.7109375" defaultRowHeight="15"/>
  <cols>
    <col min="1" max="1" width="10" customWidth="1"/>
    <col min="2" max="2" width="44" customWidth="1"/>
    <col min="3" max="13" width="9.5703125" customWidth="1"/>
    <col min="14" max="14" width="12" customWidth="1"/>
  </cols>
  <sheetData>
    <row r="1" spans="1:14" ht="18">
      <c r="A1" s="15" t="s">
        <v>143</v>
      </c>
    </row>
    <row r="2" spans="1:14" ht="19.5" customHeight="1">
      <c r="A2" s="4" t="s">
        <v>68</v>
      </c>
      <c r="B2" s="4"/>
      <c r="C2" s="3" t="s">
        <v>144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30" customHeight="1">
      <c r="A3" s="4" t="s">
        <v>70</v>
      </c>
      <c r="B3" s="4"/>
      <c r="C3" s="2" t="s">
        <v>145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9.5" customHeight="1">
      <c r="A4" s="4" t="s">
        <v>72</v>
      </c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9.5" customHeight="1">
      <c r="A5" s="4" t="s">
        <v>73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5" customHeight="1">
      <c r="A6" s="4" t="s">
        <v>74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30" customHeight="1">
      <c r="A7" s="4" t="s">
        <v>75</v>
      </c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9" spans="1:14" ht="24" customHeight="1">
      <c r="A9" s="13" t="s">
        <v>17</v>
      </c>
      <c r="B9" s="13" t="s">
        <v>146</v>
      </c>
      <c r="C9" s="13" t="s">
        <v>76</v>
      </c>
      <c r="D9" s="13" t="s">
        <v>77</v>
      </c>
      <c r="E9" s="13" t="s">
        <v>78</v>
      </c>
      <c r="F9" s="13" t="s">
        <v>79</v>
      </c>
      <c r="G9" s="13" t="s">
        <v>80</v>
      </c>
      <c r="H9" s="13" t="s">
        <v>81</v>
      </c>
      <c r="I9" s="13" t="s">
        <v>82</v>
      </c>
      <c r="J9" s="13" t="s">
        <v>83</v>
      </c>
      <c r="K9" s="13" t="s">
        <v>19</v>
      </c>
      <c r="L9" s="13" t="s">
        <v>20</v>
      </c>
      <c r="M9" s="13" t="s">
        <v>84</v>
      </c>
      <c r="N9" s="13" t="s">
        <v>85</v>
      </c>
    </row>
    <row r="10" spans="1:14">
      <c r="A10" s="25" t="s">
        <v>147</v>
      </c>
      <c r="B10" s="12" t="s">
        <v>148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25">
        <f t="shared" ref="N10:N26" si="0">COUNT(C10:M10)</f>
        <v>0</v>
      </c>
    </row>
    <row r="11" spans="1:14">
      <c r="A11" s="25" t="s">
        <v>149</v>
      </c>
      <c r="B11" s="12" t="s">
        <v>150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25">
        <f t="shared" si="0"/>
        <v>0</v>
      </c>
    </row>
    <row r="12" spans="1:14">
      <c r="A12" s="25" t="s">
        <v>151</v>
      </c>
      <c r="B12" s="12" t="s">
        <v>152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25">
        <f t="shared" si="0"/>
        <v>0</v>
      </c>
    </row>
    <row r="13" spans="1:14">
      <c r="A13" s="25" t="s">
        <v>153</v>
      </c>
      <c r="B13" s="12" t="s">
        <v>154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25">
        <f t="shared" si="0"/>
        <v>0</v>
      </c>
    </row>
    <row r="14" spans="1:14">
      <c r="A14" s="25" t="s">
        <v>155</v>
      </c>
      <c r="B14" s="12" t="s">
        <v>156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25">
        <f t="shared" si="0"/>
        <v>0</v>
      </c>
    </row>
    <row r="15" spans="1:14">
      <c r="A15" s="25" t="s">
        <v>157</v>
      </c>
      <c r="B15" s="12" t="s">
        <v>158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25">
        <f t="shared" si="0"/>
        <v>0</v>
      </c>
    </row>
    <row r="16" spans="1:14">
      <c r="A16" s="25" t="s">
        <v>159</v>
      </c>
      <c r="B16" s="12" t="s">
        <v>160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25">
        <f t="shared" si="0"/>
        <v>0</v>
      </c>
    </row>
    <row r="17" spans="1:14">
      <c r="A17" s="25" t="s">
        <v>161</v>
      </c>
      <c r="B17" s="12" t="s">
        <v>162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25">
        <f t="shared" si="0"/>
        <v>0</v>
      </c>
    </row>
    <row r="18" spans="1:14">
      <c r="A18" s="25" t="s">
        <v>163</v>
      </c>
      <c r="B18" s="12" t="s">
        <v>164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25">
        <f t="shared" si="0"/>
        <v>0</v>
      </c>
    </row>
    <row r="19" spans="1:14">
      <c r="A19" s="25" t="s">
        <v>165</v>
      </c>
      <c r="B19" s="12" t="s">
        <v>166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25">
        <f t="shared" si="0"/>
        <v>0</v>
      </c>
    </row>
    <row r="20" spans="1:14">
      <c r="A20" s="25" t="s">
        <v>167</v>
      </c>
      <c r="B20" s="12" t="s">
        <v>168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5">
        <f t="shared" si="0"/>
        <v>0</v>
      </c>
    </row>
    <row r="21" spans="1:14">
      <c r="A21" s="25" t="s">
        <v>169</v>
      </c>
      <c r="B21" s="12" t="s">
        <v>170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25">
        <f t="shared" si="0"/>
        <v>0</v>
      </c>
    </row>
    <row r="22" spans="1:14">
      <c r="A22" s="25" t="s">
        <v>171</v>
      </c>
      <c r="B22" s="12" t="s">
        <v>172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25">
        <f t="shared" si="0"/>
        <v>0</v>
      </c>
    </row>
    <row r="23" spans="1:14">
      <c r="A23" s="25" t="s">
        <v>173</v>
      </c>
      <c r="B23" s="12" t="s">
        <v>174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25">
        <f t="shared" si="0"/>
        <v>0</v>
      </c>
    </row>
    <row r="24" spans="1:14">
      <c r="A24" s="25" t="s">
        <v>175</v>
      </c>
      <c r="B24" s="12" t="s">
        <v>176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25">
        <f t="shared" si="0"/>
        <v>0</v>
      </c>
    </row>
    <row r="25" spans="1:14">
      <c r="A25" s="25" t="s">
        <v>177</v>
      </c>
      <c r="B25" s="12" t="s">
        <v>178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25">
        <f t="shared" si="0"/>
        <v>0</v>
      </c>
    </row>
    <row r="26" spans="1:14">
      <c r="A26" s="25" t="s">
        <v>179</v>
      </c>
      <c r="B26" s="12" t="s">
        <v>180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25">
        <f t="shared" si="0"/>
        <v>0</v>
      </c>
    </row>
  </sheetData>
  <mergeCells count="12">
    <mergeCell ref="A5:B5"/>
    <mergeCell ref="C5:N5"/>
    <mergeCell ref="A6:B6"/>
    <mergeCell ref="C6:N6"/>
    <mergeCell ref="A7:B7"/>
    <mergeCell ref="C7:N7"/>
    <mergeCell ref="A2:B2"/>
    <mergeCell ref="C2:N2"/>
    <mergeCell ref="A3:B3"/>
    <mergeCell ref="C3:N3"/>
    <mergeCell ref="A4:B4"/>
    <mergeCell ref="C4:N4"/>
  </mergeCells>
  <dataValidations count="1">
    <dataValidation type="decimal" allowBlank="1" showErrorMessage="1" errorTitle="Numbers only" error="Enter a number only. Leave the cell blank if the data is not available (do not type 0, a dash, or n/a)." sqref="C10:M26" xr:uid="{00000000-0002-0000-0A00-000000000000}">
      <formula1>-100000000</formula1>
      <formula2>100000000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Tracker</vt:lpstr>
      <vt:lpstr>Poverty_Rate</vt:lpstr>
      <vt:lpstr>Unemployment_TPT</vt:lpstr>
      <vt:lpstr>GRDP_Growth</vt:lpstr>
      <vt:lpstr>GRDP_PerCapita</vt:lpstr>
      <vt:lpstr>HDI_IPM</vt:lpstr>
      <vt:lpstr>Inflation</vt:lpstr>
      <vt:lpstr>Poverty_Count</vt:lpstr>
      <vt:lpstr>Gini</vt:lpstr>
      <vt:lpstr>GRDP_Structure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arya putra</cp:lastModifiedBy>
  <cp:revision>0</cp:revision>
  <dcterms:created xsi:type="dcterms:W3CDTF">2026-10-14T06:38:01Z</dcterms:created>
  <dcterms:modified xsi:type="dcterms:W3CDTF">2026-10-14T13:32:05Z</dcterms:modified>
  <dc:language>en-US</dc:language>
</cp:coreProperties>
</file>